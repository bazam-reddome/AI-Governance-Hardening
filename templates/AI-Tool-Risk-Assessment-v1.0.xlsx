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ool Inventory" sheetId="2" state="visible" r:id="rId4"/>
    <sheet name="Vendor Due Diligence" sheetId="3" state="visible" r:id="rId5"/>
    <sheet name="Connector Assessment" sheetId="4" state="visible" r:id="rId6"/>
    <sheet name="Plugin Assessment" sheetId="5" state="visible" r:id="rId7"/>
    <sheet name="Skill Assessment" sheetId="6" state="visible" r:id="rId8"/>
    <sheet name="MCP Server Assessment" sheetId="7" state="visible" r:id="rId9"/>
    <sheet name="Custom Agent Assessment" sheetId="8" state="visible" r:id="rId10"/>
    <sheet name="Framework Mapping" sheetId="9" state="visible" r:id="rId11"/>
    <sheet name="Decision Lo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<sst xmlns="http://schemas.openxmlformats.org/spreadsheetml/2006/main" count="858" uniqueCount="445">
  <si>
    <t xml:space="preserve">AI Tool Risk Assessment Workbook</t>
  </si>
  <si>
    <t xml:space="preserve">Generic Template — Aligned to NIST AI RMF · ISO/IEC 42001 · EU AI Act · OWASP LLM Top 10 · MITRE ATLAS</t>
  </si>
  <si>
    <t xml:space="preserve">Purpose</t>
  </si>
  <si>
    <t xml:space="preserve">This workbook is a generic risk-assessment instrument for any AI tool, connector, plugin, skill, MCP server, or custom AI agent that processes organisation data. It is published as part of the open AI Governance and Hardening Project. Adapt the placeholders, populate the tabs, and use the Risk Score sheet to drive prioritisation and approval decisions.</t>
  </si>
  <si>
    <t xml:space="preserve">How to use this workbook</t>
  </si>
  <si>
    <t xml:space="preserve">1.</t>
  </si>
  <si>
    <t xml:space="preserve">Start with the Tool Inventory tab. List every AI tool currently in use or under evaluation.</t>
  </si>
  <si>
    <t xml:space="preserve">2.</t>
  </si>
  <si>
    <t xml:space="preserve">For each tool, complete a Vendor Due Diligence row. Score is calculated automatically.</t>
  </si>
  <si>
    <t xml:space="preserve">3.</t>
  </si>
  <si>
    <t xml:space="preserve">For each tool, audit Connectors, Plugins, Skills, MCP Servers, and Custom Agents on the dedicated tabs.</t>
  </si>
  <si>
    <t xml:space="preserve">4.</t>
  </si>
  <si>
    <t xml:space="preserve">Use the Risk Scoring sheet to assign Likelihood and Impact (1-5) to each item. The Risk Rating is calculated.</t>
  </si>
  <si>
    <t xml:space="preserve">5.</t>
  </si>
  <si>
    <t xml:space="preserve">Use the Framework Mapping sheet to demonstrate coverage of NIST AI RMF, ISO 42001, EU AI Act, OWASP LLM Top 10.</t>
  </si>
  <si>
    <t xml:space="preserve">6.</t>
  </si>
  <si>
    <t xml:space="preserve">Capture decisions, exceptions, and review dates in the Decision Log.</t>
  </si>
  <si>
    <t xml:space="preserve">Risk Scoring Matrix</t>
  </si>
  <si>
    <t xml:space="preserve">Likelihood ↓ / Impact →</t>
  </si>
  <si>
    <t xml:space="preserve">1 Negligible</t>
  </si>
  <si>
    <t xml:space="preserve">2 Minor</t>
  </si>
  <si>
    <t xml:space="preserve">3 Moderate</t>
  </si>
  <si>
    <t xml:space="preserve">4 Major</t>
  </si>
  <si>
    <t xml:space="preserve">5 Severe</t>
  </si>
  <si>
    <t xml:space="preserve">5 Almost Certain</t>
  </si>
  <si>
    <t xml:space="preserve">4 Likely</t>
  </si>
  <si>
    <t xml:space="preserve">3 Possible</t>
  </si>
  <si>
    <t xml:space="preserve">2 Unlikely</t>
  </si>
  <si>
    <t xml:space="preserve">1 Rare</t>
  </si>
  <si>
    <t xml:space="preserve">Score Band</t>
  </si>
  <si>
    <t xml:space="preserve">Rating</t>
  </si>
  <si>
    <t xml:space="preserve">Action / Decision</t>
  </si>
  <si>
    <t xml:space="preserve">1 - 4</t>
  </si>
  <si>
    <t xml:space="preserve">Low</t>
  </si>
  <si>
    <t xml:space="preserve">Acceptable. Standard control set sufficient.</t>
  </si>
  <si>
    <t xml:space="preserve">5 - 8</t>
  </si>
  <si>
    <t xml:space="preserve">Moderate</t>
  </si>
  <si>
    <t xml:space="preserve">Implement targeted mitigations. Document residual risk.</t>
  </si>
  <si>
    <t xml:space="preserve">9 - 14</t>
  </si>
  <si>
    <t xml:space="preserve">High</t>
  </si>
  <si>
    <t xml:space="preserve">Formal approval required. Add monitoring controls. Reassess quarterly.</t>
  </si>
  <si>
    <t xml:space="preserve">15 - 25</t>
  </si>
  <si>
    <t xml:space="preserve">Critical</t>
  </si>
  <si>
    <t xml:space="preserve">Block by default. Approve only under exception with executive sign-off.</t>
  </si>
  <si>
    <t xml:space="preserve">Tool ID</t>
  </si>
  <si>
    <t xml:space="preserve">Tool Name</t>
  </si>
  <si>
    <t xml:space="preserve">Vendor</t>
  </si>
  <si>
    <t xml:space="preserve">Tool Type</t>
  </si>
  <si>
    <t xml:space="preserve">Hosting / Region</t>
  </si>
  <si>
    <t xml:space="preserve">Business Owner</t>
  </si>
  <si>
    <t xml:space="preserve">Tech Owner</t>
  </si>
  <si>
    <t xml:space="preserve">Data Classification (max)</t>
  </si>
  <si>
    <t xml:space="preserve">User Count</t>
  </si>
  <si>
    <t xml:space="preserve">Status</t>
  </si>
  <si>
    <t xml:space="preserve">Approval Date</t>
  </si>
  <si>
    <t xml:space="preserve">Last Reviewed</t>
  </si>
  <si>
    <t xml:space="preserve">Next Review</t>
  </si>
  <si>
    <t xml:space="preserve">Notes</t>
  </si>
  <si>
    <t xml:space="preserve">AI-001</t>
  </si>
  <si>
    <t xml:space="preserve">[Generative AI Chat Platform]</t>
  </si>
  <si>
    <t xml:space="preserve">[Vendor]</t>
  </si>
  <si>
    <t xml:space="preserve">Generative AI / Chat</t>
  </si>
  <si>
    <t xml:space="preserve">Multi-region / EU pinned</t>
  </si>
  <si>
    <t xml:space="preserve">[Business Owner]</t>
  </si>
  <si>
    <t xml:space="preserve">[Tech Owner]</t>
  </si>
  <si>
    <t xml:space="preserve">Confidential</t>
  </si>
  <si>
    <t xml:space="preserve">Approved</t>
  </si>
  <si>
    <t xml:space="preserve">[YYYY-MM-DD]</t>
  </si>
  <si>
    <t xml:space="preserve">Example baseline. Replace with your own.</t>
  </si>
  <si>
    <t xml:space="preserve">AI-002</t>
  </si>
  <si>
    <t xml:space="preserve">[Code Assistant]</t>
  </si>
  <si>
    <t xml:space="preserve">Code Assistant</t>
  </si>
  <si>
    <t xml:space="preserve">[Region]</t>
  </si>
  <si>
    <t xml:space="preserve">Internal</t>
  </si>
  <si>
    <t xml:space="preserve">AI-003</t>
  </si>
  <si>
    <t xml:space="preserve">[Productivity Copilot]</t>
  </si>
  <si>
    <t xml:space="preserve">Embedded Copilot</t>
  </si>
  <si>
    <t xml:space="preserve">AI-004</t>
  </si>
  <si>
    <t xml:space="preserve">[Agentic AI Platform]</t>
  </si>
  <si>
    <t xml:space="preserve">Agentic AI / Orchestrator</t>
  </si>
  <si>
    <t xml:space="preserve">Restricted</t>
  </si>
  <si>
    <t xml:space="preserve">Pilot</t>
  </si>
  <si>
    <t xml:space="preserve">AI-005</t>
  </si>
  <si>
    <t xml:space="preserve">[NL-to-SQL / Analytics AI]</t>
  </si>
  <si>
    <t xml:space="preserve">Data / Analytics AI</t>
  </si>
  <si>
    <t xml:space="preserve">Evaluation</t>
  </si>
  <si>
    <t xml:space="preserve">AI-006</t>
  </si>
  <si>
    <t xml:space="preserve">[Custom-built Agent]</t>
  </si>
  <si>
    <t xml:space="preserve">Custom Agent</t>
  </si>
  <si>
    <t xml:space="preserve">Question</t>
  </si>
  <si>
    <t xml:space="preserve">Category</t>
  </si>
  <si>
    <t xml:space="preserve">Answer (Y/N/N/A)</t>
  </si>
  <si>
    <t xml:space="preserve">Evidence / Comment</t>
  </si>
  <si>
    <t xml:space="preserve">Risk if 'No' (1-5)</t>
  </si>
  <si>
    <t xml:space="preserve">Score</t>
  </si>
  <si>
    <t xml:space="preserve">Mitigation / Compensating Control</t>
  </si>
  <si>
    <t xml:space="preserve">Does the vendor contractually commit NOT to use customer prompts or outputs for model training?</t>
  </si>
  <si>
    <t xml:space="preserve">Data Handling</t>
  </si>
  <si>
    <t xml:space="preserve">Does the vendor support tenant data isolation (no co-mingling with other tenants for grounding/training)?</t>
  </si>
  <si>
    <t xml:space="preserve">Does the vendor disclose all sub-processors and notify the customer of changes in advance?</t>
  </si>
  <si>
    <t xml:space="preserve">Is data encrypted in transit (TLS 1.2+) and at rest (AES-256 or equivalent)?</t>
  </si>
  <si>
    <t xml:space="preserve">Does the vendor support customer-managed encryption keys (CMK) where required?</t>
  </si>
  <si>
    <t xml:space="preserve">Does the vendor offer data residency options aligned with the organisation's regulatory footprint (e.g. EU, UK, US)?</t>
  </si>
  <si>
    <t xml:space="preserve">Data Residency</t>
  </si>
  <si>
    <t xml:space="preserve">Does the vendor confirm no cross-border transfers without contractual safeguards (SCCs / IDTA)?</t>
  </si>
  <si>
    <t xml:space="preserve">Has the vendor been DPIA-assessed for processing of personal data?</t>
  </si>
  <si>
    <t xml:space="preserve">Privacy</t>
  </si>
  <si>
    <t xml:space="preserve">Does the vendor publish a Data Processing Addendum (DPA) compliant with GDPR / UK GDPR?</t>
  </si>
  <si>
    <t xml:space="preserve">Does the vendor support data subject rights requests (access, erasure, portability) within statutory timeframes?</t>
  </si>
  <si>
    <t xml:space="preserve">Does the vendor hold SOC 2 Type II, ISO/IEC 27001, or equivalent independent attestation?</t>
  </si>
  <si>
    <t xml:space="preserve">Security</t>
  </si>
  <si>
    <t xml:space="preserve">Has the vendor completed an ISO/IEC 42001 audit or published equivalent AI management evidence?</t>
  </si>
  <si>
    <t xml:space="preserve">Does the vendor publish a vulnerability disclosure programme and SLA for fixing critical issues?</t>
  </si>
  <si>
    <t xml:space="preserve">Does the vendor publish penetration testing summaries or red-team results for the AI surface?</t>
  </si>
  <si>
    <t xml:space="preserve">Does the vendor commit to incident notification within 72 hours (or contractual SLA)?</t>
  </si>
  <si>
    <t xml:space="preserve">Is the foundation model identifiable, versioned, and notified on change?</t>
  </si>
  <si>
    <t xml:space="preserve">Model &amp; Training</t>
  </si>
  <si>
    <t xml:space="preserve">Does the vendor publish bias / fairness evaluation methodology?</t>
  </si>
  <si>
    <t xml:space="preserve">Does the vendor publish safety evaluation methodology (e.g. red-team, jailbreak resistance)?</t>
  </si>
  <si>
    <t xml:space="preserve">Are model updates rolled out with optional opt-in or staged release?</t>
  </si>
  <si>
    <t xml:space="preserve">Does the tool support SSO / SAML / OIDC against the corporate IdP?</t>
  </si>
  <si>
    <t xml:space="preserve">Authentication &amp; Access</t>
  </si>
  <si>
    <t xml:space="preserve">Does the tool support enforcement of MFA for all administrative actions?</t>
  </si>
  <si>
    <t xml:space="preserve">Does the tool support SCIM-based user provisioning and deprovisioning?</t>
  </si>
  <si>
    <t xml:space="preserve">Does the tool provide granular role-based access control (RBAC) for tenant administrators?</t>
  </si>
  <si>
    <t xml:space="preserve">Does the tool produce admin-accessible audit logs covering prompts, outputs, configuration changes, and admin actions?</t>
  </si>
  <si>
    <t xml:space="preserve">Logging &amp; Monitoring</t>
  </si>
  <si>
    <t xml:space="preserve">Are audit logs exportable to a SIEM (push or pull)?</t>
  </si>
  <si>
    <t xml:space="preserve">Does the tool support OpenTelemetry-compatible tracing for agent runs?</t>
  </si>
  <si>
    <t xml:space="preserve">Can administrators centrally enable / disable connectors and plugins (deny-by-default)?</t>
  </si>
  <si>
    <t xml:space="preserve">Connectors &amp; Plugins</t>
  </si>
  <si>
    <t xml:space="preserve">Are write-scope connectors clearly identified and disabled by default?</t>
  </si>
  <si>
    <t xml:space="preserve">Is there a vendor-published security review for each connector / plugin?</t>
  </si>
  <si>
    <t xml:space="preserve">Does the tool support an MCP allow-list configurable centrally?</t>
  </si>
  <si>
    <t xml:space="preserve">MCP / Extensibility</t>
  </si>
  <si>
    <t xml:space="preserve">Are MCP servers signed or otherwise authenticated by the vendor?</t>
  </si>
  <si>
    <t xml:space="preserve">Does the tool support tenant-wide policies that restrict autonomous actions (e.g. block sending external email by default)?</t>
  </si>
  <si>
    <t xml:space="preserve">Agentic Controls</t>
  </si>
  <si>
    <t xml:space="preserve">Does the tool log every tool-call made by an agent during a run?</t>
  </si>
  <si>
    <t xml:space="preserve">Can administrators kill / pause running agent sessions tenant-wide?</t>
  </si>
  <si>
    <t xml:space="preserve">Does the vendor publish an SLA with target availability ≥ 99.5%?</t>
  </si>
  <si>
    <t xml:space="preserve">Resilience</t>
  </si>
  <si>
    <t xml:space="preserve">Does the vendor publish a documented business continuity / disaster recovery plan?</t>
  </si>
  <si>
    <t xml:space="preserve">Does the contract guarantee data export and certified deletion within a defined window post-termination?</t>
  </si>
  <si>
    <t xml:space="preserve">Exit &amp; Portability</t>
  </si>
  <si>
    <t xml:space="preserve">Are exports provided in open, machine-readable formats?</t>
  </si>
  <si>
    <t xml:space="preserve">Does the vendor warrant compliance with the EU AI Act for relevant risk tiers?</t>
  </si>
  <si>
    <t xml:space="preserve">Regulatory &amp; Legal</t>
  </si>
  <si>
    <t xml:space="preserve">Does the vendor warrant lawful sourcing of training data and indemnify against IP claims?</t>
  </si>
  <si>
    <t xml:space="preserve">Are usage rights to AI outputs clearly defined in the contract?</t>
  </si>
  <si>
    <t xml:space="preserve">TOTAL</t>
  </si>
  <si>
    <t xml:space="preserve">Sum of risk score for all 'No' responses</t>
  </si>
  <si>
    <t xml:space="preserve">Connector</t>
  </si>
  <si>
    <t xml:space="preserve">Use Case</t>
  </si>
  <si>
    <t xml:space="preserve">Data Read</t>
  </si>
  <si>
    <t xml:space="preserve">Data Write</t>
  </si>
  <si>
    <t xml:space="preserve">Sensitive Data Access</t>
  </si>
  <si>
    <t xml:space="preserve">Vendor DD Status</t>
  </si>
  <si>
    <t xml:space="preserve">Decision</t>
  </si>
  <si>
    <t xml:space="preserve">Likelihood (1-5)</t>
  </si>
  <si>
    <t xml:space="preserve">Impact (1-5)</t>
  </si>
  <si>
    <t xml:space="preserve">Risk Score</t>
  </si>
  <si>
    <t xml:space="preserve">Risk Rating</t>
  </si>
  <si>
    <t xml:space="preserve">Owner</t>
  </si>
  <si>
    <t xml:space="preserve">Review Date</t>
  </si>
  <si>
    <t xml:space="preserve">Email (corporate)</t>
  </si>
  <si>
    <t xml:space="preserve">Communication</t>
  </si>
  <si>
    <t xml:space="preserve">Read inbox, draft replies</t>
  </si>
  <si>
    <t xml:space="preserve">Email subject, body, attachments</t>
  </si>
  <si>
    <t xml:space="preserve">Send / reply</t>
  </si>
  <si>
    <t xml:space="preserve">Complete</t>
  </si>
  <si>
    <t xml:space="preserve">Restrict</t>
  </si>
  <si>
    <t xml:space="preserve">[Owner]</t>
  </si>
  <si>
    <t xml:space="preserve">Read-only for the most user roles. Send-mail capability requires explicit per-role approval.</t>
  </si>
  <si>
    <t xml:space="preserve">Calendar</t>
  </si>
  <si>
    <t xml:space="preserve">Read events, schedule meetings</t>
  </si>
  <si>
    <t xml:space="preserve">Event titles, times, attendees</t>
  </si>
  <si>
    <t xml:space="preserve">Create events</t>
  </si>
  <si>
    <t xml:space="preserve">Enable</t>
  </si>
  <si>
    <t xml:space="preserve">Document storage (cloud)</t>
  </si>
  <si>
    <t xml:space="preserve">Files</t>
  </si>
  <si>
    <t xml:space="preserve">Read documents, summarise</t>
  </si>
  <si>
    <t xml:space="preserve">Files within scoped library</t>
  </si>
  <si>
    <t xml:space="preserve">None (read-only)</t>
  </si>
  <si>
    <t xml:space="preserve">Messaging platform</t>
  </si>
  <si>
    <t xml:space="preserve">Search messages, summarise</t>
  </si>
  <si>
    <t xml:space="preserve">Channels user already has access to</t>
  </si>
  <si>
    <t xml:space="preserve">Post messages</t>
  </si>
  <si>
    <t xml:space="preserve">Disable post / write scopes by default.</t>
  </si>
  <si>
    <t xml:space="preserve">Project management</t>
  </si>
  <si>
    <t xml:space="preserve">Productivity</t>
  </si>
  <si>
    <t xml:space="preserve">Create / update tickets</t>
  </si>
  <si>
    <t xml:space="preserve">Issues, comments</t>
  </si>
  <si>
    <t xml:space="preserve">Create / update issues</t>
  </si>
  <si>
    <t xml:space="preserve">Wiki / knowledge base</t>
  </si>
  <si>
    <t xml:space="preserve">Search and summarise pages</t>
  </si>
  <si>
    <t xml:space="preserve">Pages user already has access to</t>
  </si>
  <si>
    <t xml:space="preserve">Comment / page edit</t>
  </si>
  <si>
    <t xml:space="preserve">Comment scope only; disable page-edit.</t>
  </si>
  <si>
    <t xml:space="preserve">CRM</t>
  </si>
  <si>
    <t xml:space="preserve">Sales</t>
  </si>
  <si>
    <t xml:space="preserve">Lookup accounts, summarise activity</t>
  </si>
  <si>
    <t xml:space="preserve">Account, contact, opportunity records</t>
  </si>
  <si>
    <t xml:space="preserve">Create / update records</t>
  </si>
  <si>
    <t xml:space="preserve">In Progress</t>
  </si>
  <si>
    <t xml:space="preserve">Pending</t>
  </si>
  <si>
    <t xml:space="preserve">Exposes customer data.</t>
  </si>
  <si>
    <t xml:space="preserve">Code repository</t>
  </si>
  <si>
    <t xml:space="preserve">Engineering</t>
  </si>
  <si>
    <t xml:space="preserve">Read / browse code, review PRs</t>
  </si>
  <si>
    <t xml:space="preserve">Source code in scoped repos</t>
  </si>
  <si>
    <t xml:space="preserve">Comment / create PR</t>
  </si>
  <si>
    <t xml:space="preserve">Data warehouse</t>
  </si>
  <si>
    <t xml:space="preserve">Data</t>
  </si>
  <si>
    <t xml:space="preserve">NL-to-SQL, run analytics queries</t>
  </si>
  <si>
    <t xml:space="preserve">Tables in scoped catalog</t>
  </si>
  <si>
    <t xml:space="preserve">Apply row / column-level controls and query budget caps.</t>
  </si>
  <si>
    <t xml:space="preserve">HR / payroll system</t>
  </si>
  <si>
    <t xml:space="preserve">HR</t>
  </si>
  <si>
    <t xml:space="preserve">—</t>
  </si>
  <si>
    <t xml:space="preserve">N/A</t>
  </si>
  <si>
    <t xml:space="preserve">Disable</t>
  </si>
  <si>
    <t xml:space="preserve">Prohibited per AI Usage Standard.</t>
  </si>
  <si>
    <t xml:space="preserve">Identity provider admin</t>
  </si>
  <si>
    <t xml:space="preserve">Highly Restricted</t>
  </si>
  <si>
    <t xml:space="preserve">Cloud infrastructure console</t>
  </si>
  <si>
    <t xml:space="preserve">Browser automation</t>
  </si>
  <si>
    <t xml:space="preserve">Agentic</t>
  </si>
  <si>
    <t xml:space="preserve">Read pages, interact with web apps</t>
  </si>
  <si>
    <t xml:space="preserve">Active tab content</t>
  </si>
  <si>
    <t xml:space="preserve">Click / type / form-fill</t>
  </si>
  <si>
    <t xml:space="preserve">Highest-risk capability; blocklist for finance / IdP / cloud / HR / banking.</t>
  </si>
  <si>
    <t xml:space="preserve">Plugin</t>
  </si>
  <si>
    <t xml:space="preserve">Productivity Plugin Pack</t>
  </si>
  <si>
    <t xml:space="preserve">Multi-tool plugin bundle (calendar, tasks, mail)</t>
  </si>
  <si>
    <t xml:space="preserve">Bundled connector scopes</t>
  </si>
  <si>
    <t xml:space="preserve">Default bundles enable multiple connectors and skills without ITSM oversight. Disable tenant-wide by default.</t>
  </si>
  <si>
    <t xml:space="preserve">Web Search Plugin</t>
  </si>
  <si>
    <t xml:space="preserve">Browsing</t>
  </si>
  <si>
    <t xml:space="preserve">Search the open web</t>
  </si>
  <si>
    <t xml:space="preserve">Web pages user opens</t>
  </si>
  <si>
    <t xml:space="preserve">Pages may carry prompt injection. Pair with global system prompt.</t>
  </si>
  <si>
    <t xml:space="preserve">Document Writer Plugin</t>
  </si>
  <si>
    <t xml:space="preserve">Generate Word / PPT outputs</t>
  </si>
  <si>
    <t xml:space="preserve">Working folder</t>
  </si>
  <si>
    <t xml:space="preserve">Marketplace Plugin (third-party)</t>
  </si>
  <si>
    <t xml:space="preserve">Marketplace</t>
  </si>
  <si>
    <t xml:space="preserve">Varied</t>
  </si>
  <si>
    <t xml:space="preserve">Varies</t>
  </si>
  <si>
    <t xml:space="preserve">Not Started</t>
  </si>
  <si>
    <t xml:space="preserve">Default-disable third-party marketplace plugins; allow-list per request.</t>
  </si>
  <si>
    <t xml:space="preserve">Internal-only Plugin</t>
  </si>
  <si>
    <t xml:space="preserve">Custom</t>
  </si>
  <si>
    <t xml:space="preserve">Org-built plugin</t>
  </si>
  <si>
    <t xml:space="preserve">Defined per plugin</t>
  </si>
  <si>
    <t xml:space="preserve">Subject to internal SDLC + security review.</t>
  </si>
  <si>
    <t xml:space="preserve">Skill</t>
  </si>
  <si>
    <t xml:space="preserve">Memory / Context Skill</t>
  </si>
  <si>
    <t xml:space="preserve">Persistent context across sessions</t>
  </si>
  <si>
    <t xml:space="preserve">User session memory</t>
  </si>
  <si>
    <t xml:space="preserve">Memory store</t>
  </si>
  <si>
    <t xml:space="preserve">Confirm what is persisted; ensure no secrets stored.</t>
  </si>
  <si>
    <t xml:space="preserve">Document Generation Skill</t>
  </si>
  <si>
    <t xml:space="preserve">Build Word / PPT / PDF</t>
  </si>
  <si>
    <t xml:space="preserve">Code Execution Skill</t>
  </si>
  <si>
    <t xml:space="preserve">Run code in sandbox</t>
  </si>
  <si>
    <t xml:space="preserve">Sandbox FS</t>
  </si>
  <si>
    <t xml:space="preserve">Confirm sandbox isolation and network policy.</t>
  </si>
  <si>
    <t xml:space="preserve">Browser Use Skill</t>
  </si>
  <si>
    <t xml:space="preserve">Drive a browser</t>
  </si>
  <si>
    <t xml:space="preserve">Visited pages</t>
  </si>
  <si>
    <t xml:space="preserve">Form-fill / click</t>
  </si>
  <si>
    <t xml:space="preserve">Apply URL block-list; require approval for write scopes.</t>
  </si>
  <si>
    <t xml:space="preserve">User-uploaded Skill</t>
  </si>
  <si>
    <t xml:space="preserve">Disable user uploads tenant-wide; admin-only allow-list.</t>
  </si>
  <si>
    <t xml:space="preserve">Global Safety Skill (org-built)</t>
  </si>
  <si>
    <t xml:space="preserve">Governance</t>
  </si>
  <si>
    <t xml:space="preserve">Org-wide safety prompts</t>
  </si>
  <si>
    <t xml:space="preserve">All sessions</t>
  </si>
  <si>
    <t xml:space="preserve">Pushes the organisation's standing safety rules into every session.</t>
  </si>
  <si>
    <t xml:space="preserve">MCP Server</t>
  </si>
  <si>
    <t xml:space="preserve">[Vendor-published] File MCP</t>
  </si>
  <si>
    <t xml:space="preserve">File system</t>
  </si>
  <si>
    <t xml:space="preserve">Read / write files in working folder</t>
  </si>
  <si>
    <t xml:space="preserve">Constrain to a working folder, never home / Documents.</t>
  </si>
  <si>
    <t xml:space="preserve">[Vendor-published] Web Fetch MCP</t>
  </si>
  <si>
    <t xml:space="preserve">Fetch URLs</t>
  </si>
  <si>
    <t xml:space="preserve">External URLs</t>
  </si>
  <si>
    <t xml:space="preserve">Apply egress allow-list / proxy to the AI tool.</t>
  </si>
  <si>
    <t xml:space="preserve">[Community] Database MCP</t>
  </si>
  <si>
    <t xml:space="preserve">Query SQL databases</t>
  </si>
  <si>
    <t xml:space="preserve">Tables</t>
  </si>
  <si>
    <t xml:space="preserve">DML possible</t>
  </si>
  <si>
    <t xml:space="preserve">Community MCPs default-disabled; only admin-approved on allow-list.</t>
  </si>
  <si>
    <t xml:space="preserve">Internal MCP — Org Wiki</t>
  </si>
  <si>
    <t xml:space="preserve">Search corporate wiki</t>
  </si>
  <si>
    <t xml:space="preserve">Wiki pages</t>
  </si>
  <si>
    <t xml:space="preserve">Built and signed by org; deployed via managed config.</t>
  </si>
  <si>
    <t xml:space="preserve">Internal MCP — Ticketing</t>
  </si>
  <si>
    <t xml:space="preserve">Search tickets</t>
  </si>
  <si>
    <t xml:space="preserve">Tickets</t>
  </si>
  <si>
    <t xml:space="preserve">Comment on tickets</t>
  </si>
  <si>
    <t xml:space="preserve">Limit to comment / read; disable status transitions.</t>
  </si>
  <si>
    <t xml:space="preserve">Agent</t>
  </si>
  <si>
    <t xml:space="preserve">Internal Operational Action Agent (example)</t>
  </si>
  <si>
    <t xml:space="preserve">Pause an internal pipeline based on operator approval</t>
  </si>
  <si>
    <t xml:space="preserve">Pipeline status</t>
  </si>
  <si>
    <t xml:space="preserve">Pause / resume action</t>
  </si>
  <si>
    <t xml:space="preserve">High-impact agent — write-scope; require named approver and audit log forwarding.</t>
  </si>
  <si>
    <t xml:space="preserve">Status Update Agent</t>
  </si>
  <si>
    <t xml:space="preserve">Compile weekly status reports from project data</t>
  </si>
  <si>
    <t xml:space="preserve">Project tracker, calendar</t>
  </si>
  <si>
    <t xml:space="preserve">Draft document</t>
  </si>
  <si>
    <t xml:space="preserve">Read-only, draft only.</t>
  </si>
  <si>
    <t xml:space="preserve">Triage Assistant Agent</t>
  </si>
  <si>
    <t xml:space="preserve">Support</t>
  </si>
  <si>
    <t xml:space="preserve">Triage incoming support tickets</t>
  </si>
  <si>
    <t xml:space="preserve">Comment / label</t>
  </si>
  <si>
    <t xml:space="preserve">No customer-facing replies without human review.</t>
  </si>
  <si>
    <t xml:space="preserve">Domain</t>
  </si>
  <si>
    <t xml:space="preserve">Control / Question</t>
  </si>
  <si>
    <t xml:space="preserve">NIST AI RMF</t>
  </si>
  <si>
    <t xml:space="preserve">ISO/IEC 42001</t>
  </si>
  <si>
    <t xml:space="preserve">EU AI Act</t>
  </si>
  <si>
    <t xml:space="preserve">OWASP LLM Top 10</t>
  </si>
  <si>
    <t xml:space="preserve">MITRE ATLAS</t>
  </si>
  <si>
    <t xml:space="preserve">Coverage in this Workbook</t>
  </si>
  <si>
    <t xml:space="preserve">AI Governance Lead and Working Group established</t>
  </si>
  <si>
    <t xml:space="preserve">GOVERN-1.1</t>
  </si>
  <si>
    <t xml:space="preserve">Cl. 5</t>
  </si>
  <si>
    <t xml:space="preserve">Art. 4</t>
  </si>
  <si>
    <t xml:space="preserve">Tool Inventory · Decision Log</t>
  </si>
  <si>
    <t xml:space="preserve">AI Risk Register integrated with enterprise risk</t>
  </si>
  <si>
    <t xml:space="preserve">GOVERN-1.4</t>
  </si>
  <si>
    <t xml:space="preserve">A.5.2</t>
  </si>
  <si>
    <t xml:space="preserve">Art. 9</t>
  </si>
  <si>
    <t xml:space="preserve">Decision Log</t>
  </si>
  <si>
    <t xml:space="preserve">Mapping</t>
  </si>
  <si>
    <t xml:space="preserve">Inventory of AI tools, connectors, skills, MCP, agents</t>
  </si>
  <si>
    <t xml:space="preserve">MAP-1.6</t>
  </si>
  <si>
    <t xml:space="preserve">A.6.2.2</t>
  </si>
  <si>
    <t xml:space="preserve">Art. 6 / 9</t>
  </si>
  <si>
    <t xml:space="preserve">LLM03</t>
  </si>
  <si>
    <t xml:space="preserve">ML Supply Chain</t>
  </si>
  <si>
    <t xml:space="preserve">Tool Inventory · all Assessment tabs</t>
  </si>
  <si>
    <t xml:space="preserve">Data &amp; Privacy</t>
  </si>
  <si>
    <t xml:space="preserve">DPIA where personal data processed</t>
  </si>
  <si>
    <t xml:space="preserve">MAP-2.3</t>
  </si>
  <si>
    <t xml:space="preserve">A.7.3</t>
  </si>
  <si>
    <t xml:space="preserve">Art. 10</t>
  </si>
  <si>
    <t xml:space="preserve">LLM02</t>
  </si>
  <si>
    <t xml:space="preserve">Vendor Due Diligence (Privacy)</t>
  </si>
  <si>
    <t xml:space="preserve">No training on customer prompts/outputs</t>
  </si>
  <si>
    <t xml:space="preserve">MEASURE-2.7</t>
  </si>
  <si>
    <t xml:space="preserve">A.7.4</t>
  </si>
  <si>
    <t xml:space="preserve">LLM02 / LLM05</t>
  </si>
  <si>
    <t xml:space="preserve">Vendor Due Diligence (Data Handling)</t>
  </si>
  <si>
    <t xml:space="preserve">Independent security attestation (SOC 2 / ISO 27001)</t>
  </si>
  <si>
    <t xml:space="preserve">GOVERN-3.1</t>
  </si>
  <si>
    <t xml:space="preserve">A.5.5</t>
  </si>
  <si>
    <t xml:space="preserve">Art. 15</t>
  </si>
  <si>
    <t xml:space="preserve">Vendor Due Diligence (Security)</t>
  </si>
  <si>
    <t xml:space="preserve">Identity &amp; Access</t>
  </si>
  <si>
    <t xml:space="preserve">SSO + MFA + SCIM enforced</t>
  </si>
  <si>
    <t xml:space="preserve">MANAGE-3.1</t>
  </si>
  <si>
    <t xml:space="preserve">A.6.2.5</t>
  </si>
  <si>
    <t xml:space="preserve">LLM07</t>
  </si>
  <si>
    <t xml:space="preserve">Initial Access</t>
  </si>
  <si>
    <t xml:space="preserve">Vendor Due Diligence (Authentication)</t>
  </si>
  <si>
    <t xml:space="preserve">Logging</t>
  </si>
  <si>
    <t xml:space="preserve">Admin audit logs exportable to SIEM</t>
  </si>
  <si>
    <t xml:space="preserve">MEASURE-2.4</t>
  </si>
  <si>
    <t xml:space="preserve">A.9.4</t>
  </si>
  <si>
    <t xml:space="preserve">Art. 12</t>
  </si>
  <si>
    <t xml:space="preserve">LLM06</t>
  </si>
  <si>
    <t xml:space="preserve">Vendor Due Diligence (Logging)</t>
  </si>
  <si>
    <t xml:space="preserve">Connectors</t>
  </si>
  <si>
    <t xml:space="preserve">Deny-by-default; write-scope explicit approval</t>
  </si>
  <si>
    <t xml:space="preserve">MANAGE-1.3</t>
  </si>
  <si>
    <t xml:space="preserve">Execution / Exfiltration</t>
  </si>
  <si>
    <t xml:space="preserve">Connector Assessment</t>
  </si>
  <si>
    <t xml:space="preserve">Plugins</t>
  </si>
  <si>
    <t xml:space="preserve">Tenant-wide plugin allow-list; marketplace default-disabled</t>
  </si>
  <si>
    <t xml:space="preserve">MANAGE-2.1</t>
  </si>
  <si>
    <t xml:space="preserve">LLM05</t>
  </si>
  <si>
    <t xml:space="preserve">Plugin Assessment</t>
  </si>
  <si>
    <t xml:space="preserve">Skills</t>
  </si>
  <si>
    <t xml:space="preserve">Admin-only skill upload; safety skills enforced globally</t>
  </si>
  <si>
    <t xml:space="preserve">A.6.2.6</t>
  </si>
  <si>
    <t xml:space="preserve">LLM01 / LLM05</t>
  </si>
  <si>
    <t xml:space="preserve">Skill Assessment</t>
  </si>
  <si>
    <t xml:space="preserve">MCP server allow-list deployed via MDM</t>
  </si>
  <si>
    <t xml:space="preserve">A.6.2.7</t>
  </si>
  <si>
    <t xml:space="preserve">LLM05 / LLM06</t>
  </si>
  <si>
    <t xml:space="preserve">MCP Server Assessment</t>
  </si>
  <si>
    <t xml:space="preserve">Agentic Authority</t>
  </si>
  <si>
    <t xml:space="preserve">Write-scope tools require named approver</t>
  </si>
  <si>
    <t xml:space="preserve">Art. 14</t>
  </si>
  <si>
    <t xml:space="preserve">Execution / Privilege Escalation</t>
  </si>
  <si>
    <t xml:space="preserve">Custom Agent Assessment · Connector Assessment</t>
  </si>
  <si>
    <t xml:space="preserve">Browser Use</t>
  </si>
  <si>
    <t xml:space="preserve">Block-list for high-risk URL categories</t>
  </si>
  <si>
    <t xml:space="preserve">Connector Assessment (Browser automation)</t>
  </si>
  <si>
    <t xml:space="preserve">Human Oversight</t>
  </si>
  <si>
    <t xml:space="preserve">Customer-facing outputs reviewed by a human</t>
  </si>
  <si>
    <t xml:space="preserve">GOVERN-2.1</t>
  </si>
  <si>
    <t xml:space="preserve">A.9.2</t>
  </si>
  <si>
    <t xml:space="preserve">LLM09</t>
  </si>
  <si>
    <t xml:space="preserve">Vendor Due Diligence · AUP</t>
  </si>
  <si>
    <t xml:space="preserve">Bias &amp; Fairness</t>
  </si>
  <si>
    <t xml:space="preserve">Bias / fairness testing for decisions about people</t>
  </si>
  <si>
    <t xml:space="preserve">MEASURE-2.11</t>
  </si>
  <si>
    <t xml:space="preserve">Art. 10 / 14</t>
  </si>
  <si>
    <t xml:space="preserve">Vendor Due Diligence (Model &amp; Training)</t>
  </si>
  <si>
    <t xml:space="preserve">Vendor BCP / DR documented</t>
  </si>
  <si>
    <t xml:space="preserve">MANAGE-3.2</t>
  </si>
  <si>
    <t xml:space="preserve">A.10.2</t>
  </si>
  <si>
    <t xml:space="preserve">Vendor Due Diligence (Resilience)</t>
  </si>
  <si>
    <t xml:space="preserve">Exit</t>
  </si>
  <si>
    <t xml:space="preserve">Data export and certified deletion clauses</t>
  </si>
  <si>
    <t xml:space="preserve">MANAGE-2.3</t>
  </si>
  <si>
    <t xml:space="preserve">A.10.5</t>
  </si>
  <si>
    <t xml:space="preserve">Vendor Due Diligence (Exit &amp; Portability)</t>
  </si>
  <si>
    <t xml:space="preserve">Date</t>
  </si>
  <si>
    <t xml:space="preserve">Tool / Item</t>
  </si>
  <si>
    <t xml:space="preserve">Rationale</t>
  </si>
  <si>
    <t xml:space="preserve">Approver</t>
  </si>
  <si>
    <t xml:space="preserve">Effective From</t>
  </si>
  <si>
    <t xml:space="preserve">Effective To</t>
  </si>
  <si>
    <t xml:space="preserve">Linked Risk ID</t>
  </si>
  <si>
    <t xml:space="preserve">[Tool name]</t>
  </si>
  <si>
    <t xml:space="preserve">Met all DD criteria; residual risk Low.</t>
  </si>
  <si>
    <t xml:space="preserve">[Approver Forum]</t>
  </si>
  <si>
    <t xml:space="preserve">RSK-001</t>
  </si>
  <si>
    <t xml:space="preserve">Active</t>
  </si>
  <si>
    <t xml:space="preserve">[Tool name] — Browser automation skill</t>
  </si>
  <si>
    <t xml:space="preserve">Block-listed URL categories; require named approver for write scopes.</t>
  </si>
  <si>
    <t xml:space="preserve">RSK-002</t>
  </si>
  <si>
    <t xml:space="preserve">[Tool name] — Marketplace plugins</t>
  </si>
  <si>
    <t xml:space="preserve">Disabled</t>
  </si>
  <si>
    <t xml:space="preserve">Default-disable third-party marketplace; allow-list per request.</t>
  </si>
  <si>
    <t xml:space="preserve">RSK-003</t>
  </si>
  <si>
    <t xml:space="preserve">[Tool name] — User-uploaded skills</t>
  </si>
  <si>
    <t xml:space="preserve">Tenant-wide disable; admin-only allow-list to follow.</t>
  </si>
  <si>
    <t xml:space="preserve">RSK-004</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</si>
</sst>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0"/>
      <color rgb="FF0F172A"/>
      <name val="Calibri"/>
      <family val="0"/>
      <charset val="1"/>
    </font>
    <font>
      <i val="true"/>
      <sz val="11"/>
      <color rgb="FF64748B"/>
      <name val="Calibri"/>
      <family val="0"/>
      <charset val="1"/>
    </font>
    <font>
      <b val="true"/>
      <sz val="12"/>
      <color rgb="FF0F172A"/>
      <name val="Calibri"/>
      <family val="0"/>
      <charset val="1"/>
    </font>
    <font>
      <b val="true"/>
      <sz val="10"/>
      <color rgb="FF0F172A"/>
      <name val="Calibri"/>
      <family val="0"/>
      <charset val="1"/>
    </font>
    <font>
      <b val="true"/>
      <sz val="11"/>
      <color rgb="FFFFFFFF"/>
      <name val="Calibri"/>
      <family val="0"/>
      <charset val="1"/>
    </font>
    <font>
      <b val="true"/>
      <sz val="10"/>
      <name val="Calibri"/>
      <family val="0"/>
      <charset val="1"/>
    </font>
    <font>
      <sz val="10"/>
      <color rgb="FF1E293B"/>
      <name val="Calibri"/>
      <family val="0"/>
      <charset val="1"/>
    </font>
  </fonts>
  <fills count="8">
    <fill>
      <patternFill patternType="none"/>
    </fill>
    <fill>
      <patternFill patternType="gray125"/>
    </fill>
    <fill>
      <patternFill patternType="solid">
        <fgColor rgb="FF0F172A"/>
        <bgColor rgb="FF1E293B"/>
      </patternFill>
    </fill>
    <fill>
      <patternFill patternType="solid">
        <fgColor rgb="FFFFF8C5"/>
        <bgColor rgb="FFFCE4B7"/>
      </patternFill>
    </fill>
    <fill>
      <patternFill patternType="solid">
        <fgColor rgb="FFFCE4B7"/>
        <bgColor rgb="FFFFF8C5"/>
      </patternFill>
    </fill>
    <fill>
      <patternFill patternType="solid">
        <fgColor rgb="FFF4B7B0"/>
        <bgColor rgb="FFFF99CC"/>
      </patternFill>
    </fill>
    <fill>
      <patternFill patternType="solid">
        <fgColor rgb="FFCDEBC9"/>
        <bgColor rgb="FFE2E8F0"/>
      </patternFill>
    </fill>
    <fill>
      <patternFill patternType="solid">
        <fgColor rgb="FFE2E8F0"/>
        <bgColor rgb="FFCDEBC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8" fillId="2" borderId="2"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7" fillId="7" borderId="1" xfId="0" applyFont="true" applyBorder="true" applyAlignment="true" applyProtection="true">
      <alignment horizontal="general" vertical="bottom" textRotation="0" wrapText="false" indent="0" shrinkToFit="false"/>
      <protection locked="true" hidden="false"/>
    </xf>
    <xf numFmtId="164" fontId="7" fillId="7"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7" fillId="7"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4B7B0"/>
        </patternFill>
      </fill>
    </dxf>
    <dxf>
      <fill>
        <patternFill>
          <bgColor rgb="FFFCE4B7"/>
        </patternFill>
      </fill>
    </dxf>
    <dxf>
      <fill>
        <patternFill>
          <bgColor rgb="FFFFF8C5"/>
        </patternFill>
      </fill>
    </dxf>
    <dxf>
      <fill>
        <patternFill>
          <bgColor rgb="FFCDEBC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C5"/>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DEBC9"/>
      <rgbColor rgb="FFFCE4B7"/>
      <rgbColor rgb="FF99CCFF"/>
      <rgbColor rgb="FFFF99CC"/>
      <rgbColor rgb="FFCC99FF"/>
      <rgbColor rgb="FFF4B7B0"/>
      <rgbColor rgb="FF3366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6" min="2" style="1" width="28"/>
    <col collapsed="false" customWidth="true" hidden="false" outlineLevel="0" max="8" min="7" style="1" width="18"/>
  </cols>
  <sheetData>
    <row r="1" customFormat="false" ht="24.4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60" hidden="false" customHeight="true" outlineLevel="0" collapsed="false">
      <c r="A5" s="5" t="s">
        <v>3</v>
      </c>
      <c r="B5" s="5"/>
      <c r="C5" s="5"/>
      <c r="D5" s="5"/>
      <c r="E5" s="5"/>
      <c r="F5" s="5"/>
      <c r="G5" s="5"/>
      <c r="H5" s="5"/>
    </row>
    <row r="7" customFormat="false" ht="15" hidden="false" customHeight="false" outlineLevel="0" collapsed="false">
      <c r="A7" s="4" t="s">
        <v>4</v>
      </c>
    </row>
    <row r="8" customFormat="false" ht="30" hidden="false" customHeight="true" outlineLevel="0" collapsed="false">
      <c r="A8" s="6" t="s">
        <v>5</v>
      </c>
      <c r="B8" s="5" t="s">
        <v>6</v>
      </c>
      <c r="C8" s="5"/>
      <c r="D8" s="5"/>
      <c r="E8" s="5"/>
      <c r="F8" s="5"/>
      <c r="G8" s="5"/>
      <c r="H8" s="5"/>
    </row>
    <row r="9" customFormat="false" ht="30" hidden="false" customHeight="true" outlineLevel="0" collapsed="false">
      <c r="A9" s="6" t="s">
        <v>7</v>
      </c>
      <c r="B9" s="5" t="s">
        <v>8</v>
      </c>
      <c r="C9" s="5"/>
      <c r="D9" s="5"/>
      <c r="E9" s="5"/>
      <c r="F9" s="5"/>
      <c r="G9" s="5"/>
      <c r="H9" s="5"/>
    </row>
    <row r="10" customFormat="false" ht="30" hidden="false" customHeight="true" outlineLevel="0" collapsed="false">
      <c r="A10" s="6" t="s">
        <v>9</v>
      </c>
      <c r="B10" s="5" t="s">
        <v>10</v>
      </c>
      <c r="C10" s="5"/>
      <c r="D10" s="5"/>
      <c r="E10" s="5"/>
      <c r="F10" s="5"/>
      <c r="G10" s="5"/>
      <c r="H10" s="5"/>
    </row>
    <row r="11" customFormat="false" ht="30" hidden="false" customHeight="true" outlineLevel="0" collapsed="false">
      <c r="A11" s="6" t="s">
        <v>11</v>
      </c>
      <c r="B11" s="5" t="s">
        <v>12</v>
      </c>
      <c r="C11" s="5"/>
      <c r="D11" s="5"/>
      <c r="E11" s="5"/>
      <c r="F11" s="5"/>
      <c r="G11" s="5"/>
      <c r="H11" s="5"/>
    </row>
    <row r="12" customFormat="false" ht="30" hidden="false" customHeight="true" outlineLevel="0" collapsed="false">
      <c r="A12" s="6" t="s">
        <v>13</v>
      </c>
      <c r="B12" s="5" t="s">
        <v>14</v>
      </c>
      <c r="C12" s="5"/>
      <c r="D12" s="5"/>
      <c r="E12" s="5"/>
      <c r="F12" s="5"/>
      <c r="G12" s="5"/>
      <c r="H12" s="5"/>
    </row>
    <row r="13" customFormat="false" ht="30" hidden="false" customHeight="true" outlineLevel="0" collapsed="false">
      <c r="A13" s="6" t="s">
        <v>15</v>
      </c>
      <c r="B13" s="5" t="s">
        <v>16</v>
      </c>
      <c r="C13" s="5"/>
      <c r="D13" s="5"/>
      <c r="E13" s="5"/>
      <c r="F13" s="5"/>
      <c r="G13" s="5"/>
      <c r="H13" s="5"/>
    </row>
    <row r="15" customFormat="false" ht="15" hidden="false" customHeight="false" outlineLevel="0" collapsed="false">
      <c r="A15" s="4" t="s">
        <v>17</v>
      </c>
    </row>
    <row r="16" customFormat="false" ht="27.75" hidden="false" customHeight="true" outlineLevel="0" collapsed="false">
      <c r="A16" s="7" t="s">
        <v>18</v>
      </c>
      <c r="B16" s="7" t="s">
        <v>19</v>
      </c>
      <c r="C16" s="7" t="s">
        <v>20</v>
      </c>
      <c r="D16" s="7" t="s">
        <v>21</v>
      </c>
      <c r="E16" s="7" t="s">
        <v>22</v>
      </c>
      <c r="F16" s="7" t="s">
        <v>23</v>
      </c>
    </row>
    <row r="17" customFormat="false" ht="15" hidden="false" customHeight="false" outlineLevel="0" collapsed="false">
      <c r="A17" s="8" t="s">
        <v>24</v>
      </c>
      <c r="B17" s="9" t="n">
        <v>5</v>
      </c>
      <c r="C17" s="10" t="n">
        <v>10</v>
      </c>
      <c r="D17" s="11" t="n">
        <v>15</v>
      </c>
      <c r="E17" s="11" t="n">
        <v>20</v>
      </c>
      <c r="F17" s="11" t="n">
        <v>25</v>
      </c>
    </row>
    <row r="18" customFormat="false" ht="15" hidden="false" customHeight="false" outlineLevel="0" collapsed="false">
      <c r="A18" s="8" t="s">
        <v>25</v>
      </c>
      <c r="B18" s="12" t="n">
        <v>4</v>
      </c>
      <c r="C18" s="9" t="n">
        <v>8</v>
      </c>
      <c r="D18" s="10" t="n">
        <v>12</v>
      </c>
      <c r="E18" s="11" t="n">
        <v>16</v>
      </c>
      <c r="F18" s="11" t="n">
        <v>20</v>
      </c>
    </row>
    <row r="19" customFormat="false" ht="15" hidden="false" customHeight="false" outlineLevel="0" collapsed="false">
      <c r="A19" s="8" t="s">
        <v>26</v>
      </c>
      <c r="B19" s="12" t="n">
        <v>3</v>
      </c>
      <c r="C19" s="9" t="n">
        <v>6</v>
      </c>
      <c r="D19" s="10" t="n">
        <v>9</v>
      </c>
      <c r="E19" s="10" t="n">
        <v>12</v>
      </c>
      <c r="F19" s="11" t="n">
        <v>15</v>
      </c>
    </row>
    <row r="20" customFormat="false" ht="15" hidden="false" customHeight="false" outlineLevel="0" collapsed="false">
      <c r="A20" s="8" t="s">
        <v>27</v>
      </c>
      <c r="B20" s="12" t="n">
        <v>2</v>
      </c>
      <c r="C20" s="12" t="n">
        <v>4</v>
      </c>
      <c r="D20" s="9" t="n">
        <v>6</v>
      </c>
      <c r="E20" s="9" t="n">
        <v>8</v>
      </c>
      <c r="F20" s="10" t="n">
        <v>10</v>
      </c>
    </row>
    <row r="21" customFormat="false" ht="15" hidden="false" customHeight="false" outlineLevel="0" collapsed="false">
      <c r="A21" s="8" t="s">
        <v>28</v>
      </c>
      <c r="B21" s="12" t="n">
        <v>1</v>
      </c>
      <c r="C21" s="12" t="n">
        <v>2</v>
      </c>
      <c r="D21" s="12" t="n">
        <v>3</v>
      </c>
      <c r="E21" s="12" t="n">
        <v>4</v>
      </c>
      <c r="F21" s="9" t="n">
        <v>5</v>
      </c>
    </row>
    <row r="23" customFormat="false" ht="25.5" hidden="false" customHeight="true" outlineLevel="0" collapsed="false">
      <c r="A23" s="7" t="s">
        <v>29</v>
      </c>
      <c r="B23" s="7" t="s">
        <v>30</v>
      </c>
      <c r="C23" s="13" t="s">
        <v>31</v>
      </c>
      <c r="D23" s="13"/>
      <c r="E23" s="13"/>
      <c r="F23" s="13"/>
    </row>
    <row r="24" customFormat="false" ht="21.75" hidden="false" customHeight="true" outlineLevel="0" collapsed="false">
      <c r="A24" s="14" t="s">
        <v>32</v>
      </c>
      <c r="B24" s="12" t="s">
        <v>33</v>
      </c>
      <c r="C24" s="15" t="s">
        <v>34</v>
      </c>
      <c r="D24" s="15"/>
      <c r="E24" s="15"/>
      <c r="F24" s="15"/>
    </row>
    <row r="25" customFormat="false" ht="21.75" hidden="false" customHeight="true" outlineLevel="0" collapsed="false">
      <c r="A25" s="14" t="s">
        <v>35</v>
      </c>
      <c r="B25" s="9" t="s">
        <v>36</v>
      </c>
      <c r="C25" s="15" t="s">
        <v>37</v>
      </c>
      <c r="D25" s="15"/>
      <c r="E25" s="15"/>
      <c r="F25" s="15"/>
    </row>
    <row r="26" customFormat="false" ht="21.75" hidden="false" customHeight="true" outlineLevel="0" collapsed="false">
      <c r="A26" s="14" t="s">
        <v>38</v>
      </c>
      <c r="B26" s="10" t="s">
        <v>39</v>
      </c>
      <c r="C26" s="15" t="s">
        <v>40</v>
      </c>
      <c r="D26" s="15"/>
      <c r="E26" s="15"/>
      <c r="F26" s="15"/>
    </row>
    <row r="27" customFormat="false" ht="21.75" hidden="false" customHeight="true" outlineLevel="0" collapsed="false">
      <c r="A27" s="14" t="s">
        <v>41</v>
      </c>
      <c r="B27" s="11" t="s">
        <v>42</v>
      </c>
      <c r="C27" s="15" t="s">
        <v>43</v>
      </c>
      <c r="D27" s="15"/>
      <c r="E27" s="15"/>
      <c r="F27" s="15"/>
    </row>
  </sheetData>
  <mergeCells count="12">
    <mergeCell ref="A5:H5"/>
    <mergeCell ref="B8:H8"/>
    <mergeCell ref="B9:H9"/>
    <mergeCell ref="B10:H10"/>
    <mergeCell ref="B11:H11"/>
    <mergeCell ref="B12:H12"/>
    <mergeCell ref="B13:H13"/>
    <mergeCell ref="C23:F23"/>
    <mergeCell ref="C24:F24"/>
    <mergeCell ref="C25:F25"/>
    <mergeCell ref="C26:F26"/>
    <mergeCell ref="C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8"/>
    <col collapsed="false" customWidth="true" hidden="false" outlineLevel="0" max="5" min="4" style="1" width="22"/>
    <col collapsed="false" customWidth="true" hidden="false" outlineLevel="0" max="7" min="6" style="1" width="18"/>
    <col collapsed="false" customWidth="true" hidden="false" outlineLevel="0" max="8" min="8" style="1" width="22"/>
    <col collapsed="false" customWidth="true" hidden="false" outlineLevel="0" max="9" min="9" style="1" width="12"/>
    <col collapsed="false" customWidth="true" hidden="false" outlineLevel="0" max="13" min="10" style="1" width="14"/>
    <col collapsed="false" customWidth="true" hidden="false" outlineLevel="0" max="14" min="14" style="1" width="36"/>
  </cols>
  <sheetData>
    <row r="1" customFormat="false" ht="31.5" hidden="false" customHeight="true" outlineLevel="0" collapsed="false">
      <c r="A1" s="7" t="s">
        <v>44</v>
      </c>
      <c r="B1" s="7" t="s">
        <v>45</v>
      </c>
      <c r="C1" s="7" t="s">
        <v>46</v>
      </c>
      <c r="D1" s="7" t="s">
        <v>47</v>
      </c>
      <c r="E1" s="7" t="s">
        <v>48</v>
      </c>
      <c r="F1" s="7" t="s">
        <v>49</v>
      </c>
      <c r="G1" s="7" t="s">
        <v>50</v>
      </c>
      <c r="H1" s="7" t="s">
        <v>51</v>
      </c>
      <c r="I1" s="7" t="s">
        <v>52</v>
      </c>
      <c r="J1" s="7" t="s">
        <v>53</v>
      </c>
      <c r="K1" s="7" t="s">
        <v>54</v>
      </c>
      <c r="L1" s="7" t="s">
        <v>55</v>
      </c>
      <c r="M1" s="7" t="s">
        <v>56</v>
      </c>
      <c r="N1" s="7" t="s">
        <v>57</v>
      </c>
    </row>
    <row r="2" customFormat="false" ht="30" hidden="false" customHeight="true" outlineLevel="0" collapsed="false">
      <c r="A2" s="16" t="s">
        <v>58</v>
      </c>
      <c r="B2" s="16" t="s">
        <v>59</v>
      </c>
      <c r="C2" s="16" t="s">
        <v>60</v>
      </c>
      <c r="D2" s="16" t="s">
        <v>61</v>
      </c>
      <c r="E2" s="16" t="s">
        <v>62</v>
      </c>
      <c r="F2" s="16" t="s">
        <v>63</v>
      </c>
      <c r="G2" s="16" t="s">
        <v>64</v>
      </c>
      <c r="H2" s="16" t="s">
        <v>65</v>
      </c>
      <c r="I2" s="16" t="n">
        <v>0</v>
      </c>
      <c r="J2" s="16" t="s">
        <v>66</v>
      </c>
      <c r="K2" s="16" t="s">
        <v>67</v>
      </c>
      <c r="L2" s="16" t="s">
        <v>67</v>
      </c>
      <c r="M2" s="16" t="s">
        <v>67</v>
      </c>
      <c r="N2" s="16" t="s">
        <v>68</v>
      </c>
    </row>
    <row r="3" customFormat="false" ht="30" hidden="false" customHeight="true" outlineLevel="0" collapsed="false">
      <c r="A3" s="16" t="s">
        <v>69</v>
      </c>
      <c r="B3" s="16" t="s">
        <v>70</v>
      </c>
      <c r="C3" s="16" t="s">
        <v>60</v>
      </c>
      <c r="D3" s="16" t="s">
        <v>71</v>
      </c>
      <c r="E3" s="16" t="s">
        <v>72</v>
      </c>
      <c r="F3" s="16"/>
      <c r="G3" s="16"/>
      <c r="H3" s="16" t="s">
        <v>73</v>
      </c>
      <c r="I3" s="16" t="n">
        <v>0</v>
      </c>
      <c r="J3" s="16" t="s">
        <v>66</v>
      </c>
      <c r="K3" s="16"/>
      <c r="L3" s="16"/>
      <c r="M3" s="16"/>
      <c r="N3" s="16"/>
    </row>
    <row r="4" customFormat="false" ht="30" hidden="false" customHeight="true" outlineLevel="0" collapsed="false">
      <c r="A4" s="16" t="s">
        <v>74</v>
      </c>
      <c r="B4" s="16" t="s">
        <v>75</v>
      </c>
      <c r="C4" s="16" t="s">
        <v>60</v>
      </c>
      <c r="D4" s="16" t="s">
        <v>76</v>
      </c>
      <c r="E4" s="16" t="s">
        <v>72</v>
      </c>
      <c r="F4" s="16"/>
      <c r="G4" s="16"/>
      <c r="H4" s="16" t="s">
        <v>65</v>
      </c>
      <c r="I4" s="16" t="n">
        <v>0</v>
      </c>
      <c r="J4" s="16" t="s">
        <v>66</v>
      </c>
      <c r="K4" s="16"/>
      <c r="L4" s="16"/>
      <c r="M4" s="16"/>
      <c r="N4" s="16"/>
    </row>
    <row r="5" customFormat="false" ht="30" hidden="false" customHeight="true" outlineLevel="0" collapsed="false">
      <c r="A5" s="16" t="s">
        <v>77</v>
      </c>
      <c r="B5" s="16" t="s">
        <v>78</v>
      </c>
      <c r="C5" s="16" t="s">
        <v>60</v>
      </c>
      <c r="D5" s="16" t="s">
        <v>79</v>
      </c>
      <c r="E5" s="16" t="s">
        <v>72</v>
      </c>
      <c r="F5" s="16"/>
      <c r="G5" s="16"/>
      <c r="H5" s="16" t="s">
        <v>80</v>
      </c>
      <c r="I5" s="16" t="n">
        <v>0</v>
      </c>
      <c r="J5" s="16" t="s">
        <v>81</v>
      </c>
      <c r="K5" s="16"/>
      <c r="L5" s="16"/>
      <c r="M5" s="16"/>
      <c r="N5" s="16"/>
    </row>
    <row r="6" customFormat="false" ht="30" hidden="false" customHeight="true" outlineLevel="0" collapsed="false">
      <c r="A6" s="16" t="s">
        <v>82</v>
      </c>
      <c r="B6" s="16" t="s">
        <v>83</v>
      </c>
      <c r="C6" s="16" t="s">
        <v>60</v>
      </c>
      <c r="D6" s="16" t="s">
        <v>84</v>
      </c>
      <c r="E6" s="16" t="s">
        <v>72</v>
      </c>
      <c r="F6" s="16"/>
      <c r="G6" s="16"/>
      <c r="H6" s="16" t="s">
        <v>80</v>
      </c>
      <c r="I6" s="16" t="n">
        <v>0</v>
      </c>
      <c r="J6" s="16" t="s">
        <v>85</v>
      </c>
      <c r="K6" s="16"/>
      <c r="L6" s="16"/>
      <c r="M6" s="16"/>
      <c r="N6" s="16"/>
    </row>
    <row r="7" customFormat="false" ht="30" hidden="false" customHeight="true" outlineLevel="0" collapsed="false">
      <c r="A7" s="16" t="s">
        <v>86</v>
      </c>
      <c r="B7" s="16" t="s">
        <v>87</v>
      </c>
      <c r="C7" s="16" t="s">
        <v>73</v>
      </c>
      <c r="D7" s="16" t="s">
        <v>88</v>
      </c>
      <c r="E7" s="16" t="s">
        <v>72</v>
      </c>
      <c r="F7" s="16"/>
      <c r="G7" s="16"/>
      <c r="H7" s="16" t="s">
        <v>73</v>
      </c>
      <c r="I7" s="16" t="n">
        <v>0</v>
      </c>
      <c r="J7" s="16" t="s">
        <v>81</v>
      </c>
      <c r="K7" s="16"/>
      <c r="L7" s="16"/>
      <c r="M7" s="16"/>
      <c r="N7" s="16"/>
    </row>
  </sheetData>
  <dataValidations count="2">
    <dataValidation allowBlank="true" errorStyle="stop" operator="between" showDropDown="false" showErrorMessage="false" showInputMessage="false" sqref="J2:J100" type="list">
      <formula1>"Approved,Pilot,Evaluation,Restricted Use,Decommissioned,Blocked"</formula1>
      <formula2>0</formula2>
    </dataValidation>
    <dataValidation allowBlank="true" errorStyle="stop" operator="between" showDropDown="false" showErrorMessage="false" showInputMessage="false" sqref="H2:H100" type="list">
      <formula1>"Public,Internal,Confidential,Restricted,Highly Restricted"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65"/>
    <col collapsed="false" customWidth="true" hidden="false" outlineLevel="0" max="3" min="3" style="1" width="22"/>
    <col collapsed="false" customWidth="true" hidden="false" outlineLevel="0" max="4" min="4" style="1" width="14"/>
    <col collapsed="false" customWidth="true" hidden="false" outlineLevel="0" max="5" min="5" style="1" width="40"/>
    <col collapsed="false" customWidth="true" hidden="false" outlineLevel="0" max="6" min="6" style="1" width="14"/>
    <col collapsed="false" customWidth="true" hidden="false" outlineLevel="0" max="7" min="7" style="1" width="10"/>
    <col collapsed="false" customWidth="true" hidden="false" outlineLevel="0" max="8" min="8" style="1" width="40"/>
  </cols>
  <sheetData>
    <row r="1" customFormat="false" ht="31.5" hidden="false" customHeight="true" outlineLevel="0" collapsed="false">
      <c r="A1" s="7" t="s">
        <v>44</v>
      </c>
      <c r="B1" s="7" t="s">
        <v>89</v>
      </c>
      <c r="C1" s="7" t="s">
        <v>90</v>
      </c>
      <c r="D1" s="7" t="s">
        <v>91</v>
      </c>
      <c r="E1" s="7" t="s">
        <v>92</v>
      </c>
      <c r="F1" s="7" t="s">
        <v>93</v>
      </c>
      <c r="G1" s="7" t="s">
        <v>94</v>
      </c>
      <c r="H1" s="7" t="s">
        <v>95</v>
      </c>
    </row>
    <row r="2" customFormat="false" ht="31.5" hidden="false" customHeight="true" outlineLevel="0" collapsed="false">
      <c r="A2" s="17"/>
      <c r="B2" s="18" t="s">
        <v>96</v>
      </c>
      <c r="C2" s="16" t="s">
        <v>97</v>
      </c>
      <c r="D2" s="19"/>
      <c r="E2" s="18"/>
      <c r="F2" s="19" t="n">
        <v>5</v>
      </c>
      <c r="G2" s="19" t="n">
        <f aca="false">IF(UPPER(D2)="Y",0,IF(UPPER(D2)="N",F2,0))</f>
        <v>0</v>
      </c>
      <c r="H2" s="18"/>
    </row>
    <row r="3" customFormat="false" ht="31.5" hidden="false" customHeight="true" outlineLevel="0" collapsed="false">
      <c r="A3" s="17"/>
      <c r="B3" s="18" t="s">
        <v>98</v>
      </c>
      <c r="C3" s="16" t="s">
        <v>97</v>
      </c>
      <c r="D3" s="19"/>
      <c r="E3" s="18"/>
      <c r="F3" s="19" t="n">
        <v>5</v>
      </c>
      <c r="G3" s="19" t="n">
        <f aca="false">IF(UPPER(D3)="Y",0,IF(UPPER(D3)="N",F3,0))</f>
        <v>0</v>
      </c>
      <c r="H3" s="18"/>
    </row>
    <row r="4" customFormat="false" ht="31.5" hidden="false" customHeight="true" outlineLevel="0" collapsed="false">
      <c r="A4" s="17"/>
      <c r="B4" s="18" t="s">
        <v>99</v>
      </c>
      <c r="C4" s="16" t="s">
        <v>97</v>
      </c>
      <c r="D4" s="19"/>
      <c r="E4" s="18"/>
      <c r="F4" s="19" t="n">
        <v>4</v>
      </c>
      <c r="G4" s="19" t="n">
        <f aca="false">IF(UPPER(D4)="Y",0,IF(UPPER(D4)="N",F4,0))</f>
        <v>0</v>
      </c>
      <c r="H4" s="18"/>
    </row>
    <row r="5" customFormat="false" ht="31.5" hidden="false" customHeight="true" outlineLevel="0" collapsed="false">
      <c r="A5" s="17"/>
      <c r="B5" s="18" t="s">
        <v>100</v>
      </c>
      <c r="C5" s="16" t="s">
        <v>97</v>
      </c>
      <c r="D5" s="19"/>
      <c r="E5" s="18"/>
      <c r="F5" s="19" t="n">
        <v>5</v>
      </c>
      <c r="G5" s="19" t="n">
        <f aca="false">IF(UPPER(D5)="Y",0,IF(UPPER(D5)="N",F5,0))</f>
        <v>0</v>
      </c>
      <c r="H5" s="18"/>
    </row>
    <row r="6" customFormat="false" ht="31.5" hidden="false" customHeight="true" outlineLevel="0" collapsed="false">
      <c r="A6" s="17"/>
      <c r="B6" s="18" t="s">
        <v>101</v>
      </c>
      <c r="C6" s="16" t="s">
        <v>97</v>
      </c>
      <c r="D6" s="19"/>
      <c r="E6" s="18"/>
      <c r="F6" s="19" t="n">
        <v>3</v>
      </c>
      <c r="G6" s="19" t="n">
        <f aca="false">IF(UPPER(D6)="Y",0,IF(UPPER(D6)="N",F6,0))</f>
        <v>0</v>
      </c>
      <c r="H6" s="18"/>
    </row>
    <row r="7" customFormat="false" ht="31.5" hidden="false" customHeight="true" outlineLevel="0" collapsed="false">
      <c r="A7" s="17"/>
      <c r="B7" s="18" t="s">
        <v>102</v>
      </c>
      <c r="C7" s="16" t="s">
        <v>103</v>
      </c>
      <c r="D7" s="19"/>
      <c r="E7" s="18"/>
      <c r="F7" s="19" t="n">
        <v>4</v>
      </c>
      <c r="G7" s="19" t="n">
        <f aca="false">IF(UPPER(D7)="Y",0,IF(UPPER(D7)="N",F7,0))</f>
        <v>0</v>
      </c>
      <c r="H7" s="18"/>
    </row>
    <row r="8" customFormat="false" ht="31.5" hidden="false" customHeight="true" outlineLevel="0" collapsed="false">
      <c r="A8" s="17"/>
      <c r="B8" s="18" t="s">
        <v>104</v>
      </c>
      <c r="C8" s="16" t="s">
        <v>103</v>
      </c>
      <c r="D8" s="19"/>
      <c r="E8" s="18"/>
      <c r="F8" s="19" t="n">
        <v>4</v>
      </c>
      <c r="G8" s="19" t="n">
        <f aca="false">IF(UPPER(D8)="Y",0,IF(UPPER(D8)="N",F8,0))</f>
        <v>0</v>
      </c>
      <c r="H8" s="18"/>
    </row>
    <row r="9" customFormat="false" ht="31.5" hidden="false" customHeight="true" outlineLevel="0" collapsed="false">
      <c r="A9" s="17"/>
      <c r="B9" s="18" t="s">
        <v>105</v>
      </c>
      <c r="C9" s="16" t="s">
        <v>106</v>
      </c>
      <c r="D9" s="19"/>
      <c r="E9" s="18"/>
      <c r="F9" s="19" t="n">
        <v>5</v>
      </c>
      <c r="G9" s="19" t="n">
        <f aca="false">IF(UPPER(D9)="Y",0,IF(UPPER(D9)="N",F9,0))</f>
        <v>0</v>
      </c>
      <c r="H9" s="18"/>
    </row>
    <row r="10" customFormat="false" ht="31.5" hidden="false" customHeight="true" outlineLevel="0" collapsed="false">
      <c r="A10" s="17"/>
      <c r="B10" s="18" t="s">
        <v>107</v>
      </c>
      <c r="C10" s="16" t="s">
        <v>106</v>
      </c>
      <c r="D10" s="19"/>
      <c r="E10" s="18"/>
      <c r="F10" s="19" t="n">
        <v>5</v>
      </c>
      <c r="G10" s="19" t="n">
        <f aca="false">IF(UPPER(D10)="Y",0,IF(UPPER(D10)="N",F10,0))</f>
        <v>0</v>
      </c>
      <c r="H10" s="18"/>
    </row>
    <row r="11" customFormat="false" ht="31.5" hidden="false" customHeight="true" outlineLevel="0" collapsed="false">
      <c r="A11" s="17"/>
      <c r="B11" s="18" t="s">
        <v>108</v>
      </c>
      <c r="C11" s="16" t="s">
        <v>106</v>
      </c>
      <c r="D11" s="19"/>
      <c r="E11" s="18"/>
      <c r="F11" s="19" t="n">
        <v>4</v>
      </c>
      <c r="G11" s="19" t="n">
        <f aca="false">IF(UPPER(D11)="Y",0,IF(UPPER(D11)="N",F11,0))</f>
        <v>0</v>
      </c>
      <c r="H11" s="18"/>
    </row>
    <row r="12" customFormat="false" ht="31.5" hidden="false" customHeight="true" outlineLevel="0" collapsed="false">
      <c r="A12" s="17"/>
      <c r="B12" s="18" t="s">
        <v>109</v>
      </c>
      <c r="C12" s="16" t="s">
        <v>110</v>
      </c>
      <c r="D12" s="19"/>
      <c r="E12" s="18"/>
      <c r="F12" s="19" t="n">
        <v>5</v>
      </c>
      <c r="G12" s="19" t="n">
        <f aca="false">IF(UPPER(D12)="Y",0,IF(UPPER(D12)="N",F12,0))</f>
        <v>0</v>
      </c>
      <c r="H12" s="18"/>
    </row>
    <row r="13" customFormat="false" ht="31.5" hidden="false" customHeight="true" outlineLevel="0" collapsed="false">
      <c r="A13" s="17"/>
      <c r="B13" s="18" t="s">
        <v>111</v>
      </c>
      <c r="C13" s="16" t="s">
        <v>110</v>
      </c>
      <c r="D13" s="19"/>
      <c r="E13" s="18"/>
      <c r="F13" s="19" t="n">
        <v>4</v>
      </c>
      <c r="G13" s="19" t="n">
        <f aca="false">IF(UPPER(D13)="Y",0,IF(UPPER(D13)="N",F13,0))</f>
        <v>0</v>
      </c>
      <c r="H13" s="18"/>
    </row>
    <row r="14" customFormat="false" ht="31.5" hidden="false" customHeight="true" outlineLevel="0" collapsed="false">
      <c r="A14" s="17"/>
      <c r="B14" s="18" t="s">
        <v>112</v>
      </c>
      <c r="C14" s="16" t="s">
        <v>110</v>
      </c>
      <c r="D14" s="19"/>
      <c r="E14" s="18"/>
      <c r="F14" s="19" t="n">
        <v>4</v>
      </c>
      <c r="G14" s="19" t="n">
        <f aca="false">IF(UPPER(D14)="Y",0,IF(UPPER(D14)="N",F14,0))</f>
        <v>0</v>
      </c>
      <c r="H14" s="18"/>
    </row>
    <row r="15" customFormat="false" ht="31.5" hidden="false" customHeight="true" outlineLevel="0" collapsed="false">
      <c r="A15" s="17"/>
      <c r="B15" s="18" t="s">
        <v>113</v>
      </c>
      <c r="C15" s="16" t="s">
        <v>110</v>
      </c>
      <c r="D15" s="19"/>
      <c r="E15" s="18"/>
      <c r="F15" s="19" t="n">
        <v>3</v>
      </c>
      <c r="G15" s="19" t="n">
        <f aca="false">IF(UPPER(D15)="Y",0,IF(UPPER(D15)="N",F15,0))</f>
        <v>0</v>
      </c>
      <c r="H15" s="18"/>
    </row>
    <row r="16" customFormat="false" ht="31.5" hidden="false" customHeight="true" outlineLevel="0" collapsed="false">
      <c r="A16" s="17"/>
      <c r="B16" s="18" t="s">
        <v>114</v>
      </c>
      <c r="C16" s="16" t="s">
        <v>110</v>
      </c>
      <c r="D16" s="19"/>
      <c r="E16" s="18"/>
      <c r="F16" s="19" t="n">
        <v>5</v>
      </c>
      <c r="G16" s="19" t="n">
        <f aca="false">IF(UPPER(D16)="Y",0,IF(UPPER(D16)="N",F16,0))</f>
        <v>0</v>
      </c>
      <c r="H16" s="18"/>
    </row>
    <row r="17" customFormat="false" ht="31.5" hidden="false" customHeight="true" outlineLevel="0" collapsed="false">
      <c r="A17" s="17"/>
      <c r="B17" s="18" t="s">
        <v>115</v>
      </c>
      <c r="C17" s="16" t="s">
        <v>116</v>
      </c>
      <c r="D17" s="19"/>
      <c r="E17" s="18"/>
      <c r="F17" s="19" t="n">
        <v>4</v>
      </c>
      <c r="G17" s="19" t="n">
        <f aca="false">IF(UPPER(D17)="Y",0,IF(UPPER(D17)="N",F17,0))</f>
        <v>0</v>
      </c>
      <c r="H17" s="18"/>
    </row>
    <row r="18" customFormat="false" ht="31.5" hidden="false" customHeight="true" outlineLevel="0" collapsed="false">
      <c r="A18" s="17"/>
      <c r="B18" s="18" t="s">
        <v>117</v>
      </c>
      <c r="C18" s="16" t="s">
        <v>116</v>
      </c>
      <c r="D18" s="19"/>
      <c r="E18" s="18"/>
      <c r="F18" s="19" t="n">
        <v>3</v>
      </c>
      <c r="G18" s="19" t="n">
        <f aca="false">IF(UPPER(D18)="Y",0,IF(UPPER(D18)="N",F18,0))</f>
        <v>0</v>
      </c>
      <c r="H18" s="18"/>
    </row>
    <row r="19" customFormat="false" ht="31.5" hidden="false" customHeight="true" outlineLevel="0" collapsed="false">
      <c r="A19" s="17"/>
      <c r="B19" s="18" t="s">
        <v>118</v>
      </c>
      <c r="C19" s="16" t="s">
        <v>116</v>
      </c>
      <c r="D19" s="19"/>
      <c r="E19" s="18"/>
      <c r="F19" s="19" t="n">
        <v>3</v>
      </c>
      <c r="G19" s="19" t="n">
        <f aca="false">IF(UPPER(D19)="Y",0,IF(UPPER(D19)="N",F19,0))</f>
        <v>0</v>
      </c>
      <c r="H19" s="18"/>
    </row>
    <row r="20" customFormat="false" ht="31.5" hidden="false" customHeight="true" outlineLevel="0" collapsed="false">
      <c r="A20" s="17"/>
      <c r="B20" s="18" t="s">
        <v>119</v>
      </c>
      <c r="C20" s="16" t="s">
        <v>116</v>
      </c>
      <c r="D20" s="19"/>
      <c r="E20" s="18"/>
      <c r="F20" s="19" t="n">
        <v>3</v>
      </c>
      <c r="G20" s="19" t="n">
        <f aca="false">IF(UPPER(D20)="Y",0,IF(UPPER(D20)="N",F20,0))</f>
        <v>0</v>
      </c>
      <c r="H20" s="18"/>
    </row>
    <row r="21" customFormat="false" ht="31.5" hidden="false" customHeight="true" outlineLevel="0" collapsed="false">
      <c r="A21" s="17"/>
      <c r="B21" s="18" t="s">
        <v>120</v>
      </c>
      <c r="C21" s="16" t="s">
        <v>121</v>
      </c>
      <c r="D21" s="19"/>
      <c r="E21" s="18"/>
      <c r="F21" s="19" t="n">
        <v>5</v>
      </c>
      <c r="G21" s="19" t="n">
        <f aca="false">IF(UPPER(D21)="Y",0,IF(UPPER(D21)="N",F21,0))</f>
        <v>0</v>
      </c>
      <c r="H21" s="18"/>
    </row>
    <row r="22" customFormat="false" ht="31.5" hidden="false" customHeight="true" outlineLevel="0" collapsed="false">
      <c r="A22" s="17"/>
      <c r="B22" s="18" t="s">
        <v>122</v>
      </c>
      <c r="C22" s="16" t="s">
        <v>121</v>
      </c>
      <c r="D22" s="19"/>
      <c r="E22" s="18"/>
      <c r="F22" s="19" t="n">
        <v>5</v>
      </c>
      <c r="G22" s="19" t="n">
        <f aca="false">IF(UPPER(D22)="Y",0,IF(UPPER(D22)="N",F22,0))</f>
        <v>0</v>
      </c>
      <c r="H22" s="18"/>
    </row>
    <row r="23" customFormat="false" ht="31.5" hidden="false" customHeight="true" outlineLevel="0" collapsed="false">
      <c r="A23" s="17"/>
      <c r="B23" s="18" t="s">
        <v>123</v>
      </c>
      <c r="C23" s="16" t="s">
        <v>121</v>
      </c>
      <c r="D23" s="19"/>
      <c r="E23" s="18"/>
      <c r="F23" s="19" t="n">
        <v>4</v>
      </c>
      <c r="G23" s="19" t="n">
        <f aca="false">IF(UPPER(D23)="Y",0,IF(UPPER(D23)="N",F23,0))</f>
        <v>0</v>
      </c>
      <c r="H23" s="18"/>
    </row>
    <row r="24" customFormat="false" ht="31.5" hidden="false" customHeight="true" outlineLevel="0" collapsed="false">
      <c r="A24" s="17"/>
      <c r="B24" s="18" t="s">
        <v>124</v>
      </c>
      <c r="C24" s="16" t="s">
        <v>121</v>
      </c>
      <c r="D24" s="19"/>
      <c r="E24" s="18"/>
      <c r="F24" s="19" t="n">
        <v>4</v>
      </c>
      <c r="G24" s="19" t="n">
        <f aca="false">IF(UPPER(D24)="Y",0,IF(UPPER(D24)="N",F24,0))</f>
        <v>0</v>
      </c>
      <c r="H24" s="18"/>
    </row>
    <row r="25" customFormat="false" ht="31.5" hidden="false" customHeight="true" outlineLevel="0" collapsed="false">
      <c r="A25" s="17"/>
      <c r="B25" s="18" t="s">
        <v>125</v>
      </c>
      <c r="C25" s="16" t="s">
        <v>126</v>
      </c>
      <c r="D25" s="19"/>
      <c r="E25" s="18"/>
      <c r="F25" s="19" t="n">
        <v>5</v>
      </c>
      <c r="G25" s="19" t="n">
        <f aca="false">IF(UPPER(D25)="Y",0,IF(UPPER(D25)="N",F25,0))</f>
        <v>0</v>
      </c>
      <c r="H25" s="18"/>
    </row>
    <row r="26" customFormat="false" ht="31.5" hidden="false" customHeight="true" outlineLevel="0" collapsed="false">
      <c r="A26" s="17"/>
      <c r="B26" s="18" t="s">
        <v>127</v>
      </c>
      <c r="C26" s="16" t="s">
        <v>126</v>
      </c>
      <c r="D26" s="19"/>
      <c r="E26" s="18"/>
      <c r="F26" s="19" t="n">
        <v>5</v>
      </c>
      <c r="G26" s="19" t="n">
        <f aca="false">IF(UPPER(D26)="Y",0,IF(UPPER(D26)="N",F26,0))</f>
        <v>0</v>
      </c>
      <c r="H26" s="18"/>
    </row>
    <row r="27" customFormat="false" ht="31.5" hidden="false" customHeight="true" outlineLevel="0" collapsed="false">
      <c r="A27" s="17"/>
      <c r="B27" s="18" t="s">
        <v>128</v>
      </c>
      <c r="C27" s="16" t="s">
        <v>126</v>
      </c>
      <c r="D27" s="19"/>
      <c r="E27" s="18"/>
      <c r="F27" s="19" t="n">
        <v>3</v>
      </c>
      <c r="G27" s="19" t="n">
        <f aca="false">IF(UPPER(D27)="Y",0,IF(UPPER(D27)="N",F27,0))</f>
        <v>0</v>
      </c>
      <c r="H27" s="18"/>
    </row>
    <row r="28" customFormat="false" ht="31.5" hidden="false" customHeight="true" outlineLevel="0" collapsed="false">
      <c r="A28" s="17"/>
      <c r="B28" s="18" t="s">
        <v>129</v>
      </c>
      <c r="C28" s="16" t="s">
        <v>130</v>
      </c>
      <c r="D28" s="19"/>
      <c r="E28" s="18"/>
      <c r="F28" s="19" t="n">
        <v>5</v>
      </c>
      <c r="G28" s="19" t="n">
        <f aca="false">IF(UPPER(D28)="Y",0,IF(UPPER(D28)="N",F28,0))</f>
        <v>0</v>
      </c>
      <c r="H28" s="18"/>
    </row>
    <row r="29" customFormat="false" ht="31.5" hidden="false" customHeight="true" outlineLevel="0" collapsed="false">
      <c r="A29" s="17"/>
      <c r="B29" s="18" t="s">
        <v>131</v>
      </c>
      <c r="C29" s="16" t="s">
        <v>130</v>
      </c>
      <c r="D29" s="19"/>
      <c r="E29" s="18"/>
      <c r="F29" s="19" t="n">
        <v>5</v>
      </c>
      <c r="G29" s="19" t="n">
        <f aca="false">IF(UPPER(D29)="Y",0,IF(UPPER(D29)="N",F29,0))</f>
        <v>0</v>
      </c>
      <c r="H29" s="18"/>
    </row>
    <row r="30" customFormat="false" ht="31.5" hidden="false" customHeight="true" outlineLevel="0" collapsed="false">
      <c r="A30" s="17"/>
      <c r="B30" s="18" t="s">
        <v>132</v>
      </c>
      <c r="C30" s="16" t="s">
        <v>130</v>
      </c>
      <c r="D30" s="19"/>
      <c r="E30" s="18"/>
      <c r="F30" s="19" t="n">
        <v>3</v>
      </c>
      <c r="G30" s="19" t="n">
        <f aca="false">IF(UPPER(D30)="Y",0,IF(UPPER(D30)="N",F30,0))</f>
        <v>0</v>
      </c>
      <c r="H30" s="18"/>
    </row>
    <row r="31" customFormat="false" ht="31.5" hidden="false" customHeight="true" outlineLevel="0" collapsed="false">
      <c r="A31" s="17"/>
      <c r="B31" s="18" t="s">
        <v>133</v>
      </c>
      <c r="C31" s="16" t="s">
        <v>134</v>
      </c>
      <c r="D31" s="19"/>
      <c r="E31" s="18"/>
      <c r="F31" s="19" t="n">
        <v>4</v>
      </c>
      <c r="G31" s="19" t="n">
        <f aca="false">IF(UPPER(D31)="Y",0,IF(UPPER(D31)="N",F31,0))</f>
        <v>0</v>
      </c>
      <c r="H31" s="18"/>
    </row>
    <row r="32" customFormat="false" ht="31.5" hidden="false" customHeight="true" outlineLevel="0" collapsed="false">
      <c r="A32" s="17"/>
      <c r="B32" s="18" t="s">
        <v>135</v>
      </c>
      <c r="C32" s="16" t="s">
        <v>134</v>
      </c>
      <c r="D32" s="19"/>
      <c r="E32" s="18"/>
      <c r="F32" s="19" t="n">
        <v>4</v>
      </c>
      <c r="G32" s="19" t="n">
        <f aca="false">IF(UPPER(D32)="Y",0,IF(UPPER(D32)="N",F32,0))</f>
        <v>0</v>
      </c>
      <c r="H32" s="18"/>
    </row>
    <row r="33" customFormat="false" ht="31.5" hidden="false" customHeight="true" outlineLevel="0" collapsed="false">
      <c r="A33" s="17"/>
      <c r="B33" s="18" t="s">
        <v>136</v>
      </c>
      <c r="C33" s="16" t="s">
        <v>137</v>
      </c>
      <c r="D33" s="19"/>
      <c r="E33" s="18"/>
      <c r="F33" s="19" t="n">
        <v>5</v>
      </c>
      <c r="G33" s="19" t="n">
        <f aca="false">IF(UPPER(D33)="Y",0,IF(UPPER(D33)="N",F33,0))</f>
        <v>0</v>
      </c>
      <c r="H33" s="18"/>
    </row>
    <row r="34" customFormat="false" ht="31.5" hidden="false" customHeight="true" outlineLevel="0" collapsed="false">
      <c r="A34" s="17"/>
      <c r="B34" s="18" t="s">
        <v>138</v>
      </c>
      <c r="C34" s="16" t="s">
        <v>137</v>
      </c>
      <c r="D34" s="19"/>
      <c r="E34" s="18"/>
      <c r="F34" s="19" t="n">
        <v>5</v>
      </c>
      <c r="G34" s="19" t="n">
        <f aca="false">IF(UPPER(D34)="Y",0,IF(UPPER(D34)="N",F34,0))</f>
        <v>0</v>
      </c>
      <c r="H34" s="18"/>
    </row>
    <row r="35" customFormat="false" ht="31.5" hidden="false" customHeight="true" outlineLevel="0" collapsed="false">
      <c r="A35" s="17"/>
      <c r="B35" s="18" t="s">
        <v>139</v>
      </c>
      <c r="C35" s="16" t="s">
        <v>137</v>
      </c>
      <c r="D35" s="19"/>
      <c r="E35" s="18"/>
      <c r="F35" s="19" t="n">
        <v>4</v>
      </c>
      <c r="G35" s="19" t="n">
        <f aca="false">IF(UPPER(D35)="Y",0,IF(UPPER(D35)="N",F35,0))</f>
        <v>0</v>
      </c>
      <c r="H35" s="18"/>
    </row>
    <row r="36" customFormat="false" ht="31.5" hidden="false" customHeight="true" outlineLevel="0" collapsed="false">
      <c r="A36" s="17"/>
      <c r="B36" s="18" t="s">
        <v>140</v>
      </c>
      <c r="C36" s="16" t="s">
        <v>141</v>
      </c>
      <c r="D36" s="19"/>
      <c r="E36" s="18"/>
      <c r="F36" s="19" t="n">
        <v>3</v>
      </c>
      <c r="G36" s="19" t="n">
        <f aca="false">IF(UPPER(D36)="Y",0,IF(UPPER(D36)="N",F36,0))</f>
        <v>0</v>
      </c>
      <c r="H36" s="18"/>
    </row>
    <row r="37" customFormat="false" ht="31.5" hidden="false" customHeight="true" outlineLevel="0" collapsed="false">
      <c r="A37" s="17"/>
      <c r="B37" s="18" t="s">
        <v>142</v>
      </c>
      <c r="C37" s="16" t="s">
        <v>141</v>
      </c>
      <c r="D37" s="19"/>
      <c r="E37" s="18"/>
      <c r="F37" s="19" t="n">
        <v>3</v>
      </c>
      <c r="G37" s="19" t="n">
        <f aca="false">IF(UPPER(D37)="Y",0,IF(UPPER(D37)="N",F37,0))</f>
        <v>0</v>
      </c>
      <c r="H37" s="18"/>
    </row>
    <row r="38" customFormat="false" ht="31.5" hidden="false" customHeight="true" outlineLevel="0" collapsed="false">
      <c r="A38" s="17"/>
      <c r="B38" s="18" t="s">
        <v>143</v>
      </c>
      <c r="C38" s="16" t="s">
        <v>144</v>
      </c>
      <c r="D38" s="19"/>
      <c r="E38" s="18"/>
      <c r="F38" s="19" t="n">
        <v>5</v>
      </c>
      <c r="G38" s="19" t="n">
        <f aca="false">IF(UPPER(D38)="Y",0,IF(UPPER(D38)="N",F38,0))</f>
        <v>0</v>
      </c>
      <c r="H38" s="18"/>
    </row>
    <row r="39" customFormat="false" ht="31.5" hidden="false" customHeight="true" outlineLevel="0" collapsed="false">
      <c r="A39" s="17"/>
      <c r="B39" s="18" t="s">
        <v>145</v>
      </c>
      <c r="C39" s="16" t="s">
        <v>144</v>
      </c>
      <c r="D39" s="19"/>
      <c r="E39" s="18"/>
      <c r="F39" s="19" t="n">
        <v>3</v>
      </c>
      <c r="G39" s="19" t="n">
        <f aca="false">IF(UPPER(D39)="Y",0,IF(UPPER(D39)="N",F39,0))</f>
        <v>0</v>
      </c>
      <c r="H39" s="18"/>
    </row>
    <row r="40" customFormat="false" ht="31.5" hidden="false" customHeight="true" outlineLevel="0" collapsed="false">
      <c r="A40" s="17"/>
      <c r="B40" s="18" t="s">
        <v>146</v>
      </c>
      <c r="C40" s="16" t="s">
        <v>147</v>
      </c>
      <c r="D40" s="19"/>
      <c r="E40" s="18"/>
      <c r="F40" s="19" t="n">
        <v>4</v>
      </c>
      <c r="G40" s="19" t="n">
        <f aca="false">IF(UPPER(D40)="Y",0,IF(UPPER(D40)="N",F40,0))</f>
        <v>0</v>
      </c>
      <c r="H40" s="18"/>
    </row>
    <row r="41" customFormat="false" ht="31.5" hidden="false" customHeight="true" outlineLevel="0" collapsed="false">
      <c r="A41" s="17"/>
      <c r="B41" s="18" t="s">
        <v>148</v>
      </c>
      <c r="C41" s="16" t="s">
        <v>147</v>
      </c>
      <c r="D41" s="19"/>
      <c r="E41" s="18"/>
      <c r="F41" s="19" t="n">
        <v>4</v>
      </c>
      <c r="G41" s="19" t="n">
        <f aca="false">IF(UPPER(D41)="Y",0,IF(UPPER(D41)="N",F41,0))</f>
        <v>0</v>
      </c>
      <c r="H41" s="18"/>
    </row>
    <row r="42" customFormat="false" ht="31.5" hidden="false" customHeight="true" outlineLevel="0" collapsed="false">
      <c r="A42" s="17"/>
      <c r="B42" s="18" t="s">
        <v>149</v>
      </c>
      <c r="C42" s="16" t="s">
        <v>147</v>
      </c>
      <c r="D42" s="19"/>
      <c r="E42" s="18"/>
      <c r="F42" s="19" t="n">
        <v>4</v>
      </c>
      <c r="G42" s="19" t="n">
        <f aca="false">IF(UPPER(D42)="Y",0,IF(UPPER(D42)="N",F42,0))</f>
        <v>0</v>
      </c>
      <c r="H42" s="18"/>
    </row>
    <row r="43" customFormat="false" ht="15" hidden="false" customHeight="false" outlineLevel="0" collapsed="false">
      <c r="A43" s="20" t="s">
        <v>150</v>
      </c>
      <c r="B43" s="21" t="s">
        <v>151</v>
      </c>
      <c r="C43" s="22"/>
      <c r="D43" s="22"/>
      <c r="E43" s="22"/>
      <c r="F43" s="22"/>
      <c r="G43" s="23" t="n">
        <f aca="false">SUM(G2:G42)</f>
        <v>0</v>
      </c>
      <c r="H43" s="22"/>
    </row>
  </sheetData>
  <dataValidations count="1">
    <dataValidation allowBlank="true" errorStyle="stop" operator="between" showDropDown="false" showErrorMessage="false" showInputMessage="false" sqref="D2:D42"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18"/>
    <col collapsed="false" customWidth="true" hidden="false" outlineLevel="0" max="4" min="4" style="1" width="28"/>
    <col collapsed="false" customWidth="true" hidden="false" outlineLevel="0" max="6" min="5" style="1" width="22"/>
    <col collapsed="false" customWidth="true" hidden="false" outlineLevel="0" max="7" min="7" style="1" width="18"/>
    <col collapsed="false" customWidth="true" hidden="false" outlineLevel="0" max="9" min="8" style="1" width="1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16"/>
    <col collapsed="false" customWidth="true" hidden="false" outlineLevel="0" max="15" min="15" style="1" width="14"/>
    <col collapsed="false" customWidth="true" hidden="false" outlineLevel="0" max="16" min="16" style="1" width="28"/>
  </cols>
  <sheetData>
    <row r="1" customFormat="false" ht="31.5" hidden="false" customHeight="true" outlineLevel="0" collapsed="false">
      <c r="A1" s="7" t="s">
        <v>44</v>
      </c>
      <c r="B1" s="7" t="s">
        <v>152</v>
      </c>
      <c r="C1" s="7" t="s">
        <v>90</v>
      </c>
      <c r="D1" s="7" t="s">
        <v>153</v>
      </c>
      <c r="E1" s="7" t="s">
        <v>154</v>
      </c>
      <c r="F1" s="7" t="s">
        <v>155</v>
      </c>
      <c r="G1" s="7" t="s">
        <v>156</v>
      </c>
      <c r="H1" s="7" t="s">
        <v>157</v>
      </c>
      <c r="I1" s="7" t="s">
        <v>158</v>
      </c>
      <c r="J1" s="7" t="s">
        <v>159</v>
      </c>
      <c r="K1" s="7" t="s">
        <v>160</v>
      </c>
      <c r="L1" s="7" t="s">
        <v>161</v>
      </c>
      <c r="M1" s="7" t="s">
        <v>162</v>
      </c>
      <c r="N1" s="7" t="s">
        <v>163</v>
      </c>
      <c r="O1" s="7" t="s">
        <v>164</v>
      </c>
      <c r="P1" s="7" t="s">
        <v>57</v>
      </c>
    </row>
    <row r="2" customFormat="false" ht="30" hidden="false" customHeight="true" outlineLevel="0" collapsed="false">
      <c r="A2" s="18" t="s">
        <v>58</v>
      </c>
      <c r="B2" s="18" t="s">
        <v>165</v>
      </c>
      <c r="C2" s="18" t="s">
        <v>166</v>
      </c>
      <c r="D2" s="18" t="s">
        <v>167</v>
      </c>
      <c r="E2" s="18" t="s">
        <v>168</v>
      </c>
      <c r="F2" s="18" t="s">
        <v>169</v>
      </c>
      <c r="G2" s="18" t="s">
        <v>65</v>
      </c>
      <c r="H2" s="18" t="s">
        <v>170</v>
      </c>
      <c r="I2" s="18" t="s">
        <v>171</v>
      </c>
      <c r="J2" s="18" t="n">
        <v>3</v>
      </c>
      <c r="K2" s="18" t="n">
        <v>4</v>
      </c>
      <c r="L2" s="18" t="n">
        <f aca="false">IF(AND(ISNUMBER(J2),ISNUMBER(K2)),J2*K2,"")</f>
        <v>12</v>
      </c>
      <c r="M2" s="18" t="str">
        <f aca="false">IF(L2="","",IF(L2&gt;=15,"Critical",IF(L2&gt;=9,"High",IF(L2&gt;=5,"Moderate","Low"))))</f>
        <v>High</v>
      </c>
      <c r="N2" s="18" t="s">
        <v>172</v>
      </c>
      <c r="O2" s="18" t="s">
        <v>67</v>
      </c>
      <c r="P2" s="18" t="s">
        <v>173</v>
      </c>
    </row>
    <row r="3" customFormat="false" ht="30" hidden="false" customHeight="true" outlineLevel="0" collapsed="false">
      <c r="A3" s="18" t="s">
        <v>58</v>
      </c>
      <c r="B3" s="18" t="s">
        <v>174</v>
      </c>
      <c r="C3" s="18" t="s">
        <v>166</v>
      </c>
      <c r="D3" s="18" t="s">
        <v>175</v>
      </c>
      <c r="E3" s="18" t="s">
        <v>176</v>
      </c>
      <c r="F3" s="18" t="s">
        <v>177</v>
      </c>
      <c r="G3" s="18" t="s">
        <v>73</v>
      </c>
      <c r="H3" s="18" t="s">
        <v>170</v>
      </c>
      <c r="I3" s="18" t="s">
        <v>178</v>
      </c>
      <c r="J3" s="18" t="n">
        <v>2</v>
      </c>
      <c r="K3" s="18" t="n">
        <v>2</v>
      </c>
      <c r="L3" s="18" t="n">
        <f aca="false">IF(AND(ISNUMBER(J3),ISNUMBER(K3)),J3*K3,"")</f>
        <v>4</v>
      </c>
      <c r="M3" s="18" t="str">
        <f aca="false">IF(L3="","",IF(L3&gt;=15,"Critical",IF(L3&gt;=9,"High",IF(L3&gt;=5,"Moderate","Low"))))</f>
        <v>Low</v>
      </c>
      <c r="N3" s="18" t="s">
        <v>172</v>
      </c>
      <c r="O3" s="18" t="s">
        <v>67</v>
      </c>
      <c r="P3" s="18"/>
    </row>
    <row r="4" customFormat="false" ht="30" hidden="false" customHeight="true" outlineLevel="0" collapsed="false">
      <c r="A4" s="18" t="s">
        <v>58</v>
      </c>
      <c r="B4" s="18" t="s">
        <v>179</v>
      </c>
      <c r="C4" s="18" t="s">
        <v>180</v>
      </c>
      <c r="D4" s="18" t="s">
        <v>181</v>
      </c>
      <c r="E4" s="18" t="s">
        <v>182</v>
      </c>
      <c r="F4" s="18" t="s">
        <v>183</v>
      </c>
      <c r="G4" s="18" t="s">
        <v>65</v>
      </c>
      <c r="H4" s="18" t="s">
        <v>170</v>
      </c>
      <c r="I4" s="18" t="s">
        <v>178</v>
      </c>
      <c r="J4" s="18" t="n">
        <v>2</v>
      </c>
      <c r="K4" s="18" t="n">
        <v>4</v>
      </c>
      <c r="L4" s="18" t="n">
        <f aca="false">IF(AND(ISNUMBER(J4),ISNUMBER(K4)),J4*K4,"")</f>
        <v>8</v>
      </c>
      <c r="M4" s="18" t="str">
        <f aca="false">IF(L4="","",IF(L4&gt;=15,"Critical",IF(L4&gt;=9,"High",IF(L4&gt;=5,"Moderate","Low"))))</f>
        <v>Moderate</v>
      </c>
      <c r="N4" s="18" t="s">
        <v>172</v>
      </c>
      <c r="O4" s="18" t="s">
        <v>67</v>
      </c>
      <c r="P4" s="18"/>
    </row>
    <row r="5" customFormat="false" ht="30" hidden="false" customHeight="true" outlineLevel="0" collapsed="false">
      <c r="A5" s="18" t="s">
        <v>58</v>
      </c>
      <c r="B5" s="18" t="s">
        <v>184</v>
      </c>
      <c r="C5" s="18" t="s">
        <v>166</v>
      </c>
      <c r="D5" s="18" t="s">
        <v>185</v>
      </c>
      <c r="E5" s="18" t="s">
        <v>186</v>
      </c>
      <c r="F5" s="18" t="s">
        <v>187</v>
      </c>
      <c r="G5" s="18" t="s">
        <v>65</v>
      </c>
      <c r="H5" s="18" t="s">
        <v>170</v>
      </c>
      <c r="I5" s="18" t="s">
        <v>171</v>
      </c>
      <c r="J5" s="18" t="n">
        <v>3</v>
      </c>
      <c r="K5" s="18" t="n">
        <v>4</v>
      </c>
      <c r="L5" s="18" t="n">
        <f aca="false">IF(AND(ISNUMBER(J5),ISNUMBER(K5)),J5*K5,"")</f>
        <v>12</v>
      </c>
      <c r="M5" s="18" t="str">
        <f aca="false">IF(L5="","",IF(L5&gt;=15,"Critical",IF(L5&gt;=9,"High",IF(L5&gt;=5,"Moderate","Low"))))</f>
        <v>High</v>
      </c>
      <c r="N5" s="18" t="s">
        <v>172</v>
      </c>
      <c r="O5" s="18" t="s">
        <v>67</v>
      </c>
      <c r="P5" s="18" t="s">
        <v>188</v>
      </c>
    </row>
    <row r="6" customFormat="false" ht="30" hidden="false" customHeight="true" outlineLevel="0" collapsed="false">
      <c r="A6" s="18" t="s">
        <v>58</v>
      </c>
      <c r="B6" s="18" t="s">
        <v>189</v>
      </c>
      <c r="C6" s="18" t="s">
        <v>190</v>
      </c>
      <c r="D6" s="18" t="s">
        <v>191</v>
      </c>
      <c r="E6" s="18" t="s">
        <v>192</v>
      </c>
      <c r="F6" s="18" t="s">
        <v>193</v>
      </c>
      <c r="G6" s="18" t="s">
        <v>73</v>
      </c>
      <c r="H6" s="18" t="s">
        <v>170</v>
      </c>
      <c r="I6" s="18" t="s">
        <v>178</v>
      </c>
      <c r="J6" s="18" t="n">
        <v>2</v>
      </c>
      <c r="K6" s="18" t="n">
        <v>2</v>
      </c>
      <c r="L6" s="18" t="n">
        <f aca="false">IF(AND(ISNUMBER(J6),ISNUMBER(K6)),J6*K6,"")</f>
        <v>4</v>
      </c>
      <c r="M6" s="18" t="str">
        <f aca="false">IF(L6="","",IF(L6&gt;=15,"Critical",IF(L6&gt;=9,"High",IF(L6&gt;=5,"Moderate","Low"))))</f>
        <v>Low</v>
      </c>
      <c r="N6" s="18" t="s">
        <v>172</v>
      </c>
      <c r="O6" s="18" t="s">
        <v>67</v>
      </c>
      <c r="P6" s="18"/>
    </row>
    <row r="7" customFormat="false" ht="30" hidden="false" customHeight="true" outlineLevel="0" collapsed="false">
      <c r="A7" s="18" t="s">
        <v>58</v>
      </c>
      <c r="B7" s="18" t="s">
        <v>194</v>
      </c>
      <c r="C7" s="18" t="s">
        <v>190</v>
      </c>
      <c r="D7" s="18" t="s">
        <v>195</v>
      </c>
      <c r="E7" s="18" t="s">
        <v>196</v>
      </c>
      <c r="F7" s="18" t="s">
        <v>197</v>
      </c>
      <c r="G7" s="18" t="s">
        <v>65</v>
      </c>
      <c r="H7" s="18" t="s">
        <v>170</v>
      </c>
      <c r="I7" s="18" t="s">
        <v>171</v>
      </c>
      <c r="J7" s="18" t="n">
        <v>2</v>
      </c>
      <c r="K7" s="18" t="n">
        <v>3</v>
      </c>
      <c r="L7" s="18" t="n">
        <f aca="false">IF(AND(ISNUMBER(J7),ISNUMBER(K7)),J7*K7,"")</f>
        <v>6</v>
      </c>
      <c r="M7" s="18" t="str">
        <f aca="false">IF(L7="","",IF(L7&gt;=15,"Critical",IF(L7&gt;=9,"High",IF(L7&gt;=5,"Moderate","Low"))))</f>
        <v>Moderate</v>
      </c>
      <c r="N7" s="18" t="s">
        <v>172</v>
      </c>
      <c r="O7" s="18" t="s">
        <v>67</v>
      </c>
      <c r="P7" s="18" t="s">
        <v>198</v>
      </c>
    </row>
    <row r="8" customFormat="false" ht="30" hidden="false" customHeight="true" outlineLevel="0" collapsed="false">
      <c r="A8" s="18" t="s">
        <v>58</v>
      </c>
      <c r="B8" s="18" t="s">
        <v>199</v>
      </c>
      <c r="C8" s="18" t="s">
        <v>200</v>
      </c>
      <c r="D8" s="18" t="s">
        <v>201</v>
      </c>
      <c r="E8" s="18" t="s">
        <v>202</v>
      </c>
      <c r="F8" s="18" t="s">
        <v>203</v>
      </c>
      <c r="G8" s="18" t="s">
        <v>80</v>
      </c>
      <c r="H8" s="18" t="s">
        <v>204</v>
      </c>
      <c r="I8" s="18" t="s">
        <v>205</v>
      </c>
      <c r="J8" s="18" t="n">
        <v>3</v>
      </c>
      <c r="K8" s="18" t="n">
        <v>4</v>
      </c>
      <c r="L8" s="18" t="n">
        <f aca="false">IF(AND(ISNUMBER(J8),ISNUMBER(K8)),J8*K8,"")</f>
        <v>12</v>
      </c>
      <c r="M8" s="18" t="str">
        <f aca="false">IF(L8="","",IF(L8&gt;=15,"Critical",IF(L8&gt;=9,"High",IF(L8&gt;=5,"Moderate","Low"))))</f>
        <v>High</v>
      </c>
      <c r="N8" s="18" t="s">
        <v>172</v>
      </c>
      <c r="O8" s="18" t="s">
        <v>67</v>
      </c>
      <c r="P8" s="18" t="s">
        <v>206</v>
      </c>
    </row>
    <row r="9" customFormat="false" ht="30" hidden="false" customHeight="true" outlineLevel="0" collapsed="false">
      <c r="A9" s="18" t="s">
        <v>58</v>
      </c>
      <c r="B9" s="18" t="s">
        <v>207</v>
      </c>
      <c r="C9" s="18" t="s">
        <v>208</v>
      </c>
      <c r="D9" s="18" t="s">
        <v>209</v>
      </c>
      <c r="E9" s="18" t="s">
        <v>210</v>
      </c>
      <c r="F9" s="18" t="s">
        <v>211</v>
      </c>
      <c r="G9" s="18" t="s">
        <v>65</v>
      </c>
      <c r="H9" s="18" t="s">
        <v>170</v>
      </c>
      <c r="I9" s="18" t="s">
        <v>178</v>
      </c>
      <c r="J9" s="18" t="n">
        <v>2</v>
      </c>
      <c r="K9" s="18" t="n">
        <v>4</v>
      </c>
      <c r="L9" s="18" t="n">
        <f aca="false">IF(AND(ISNUMBER(J9),ISNUMBER(K9)),J9*K9,"")</f>
        <v>8</v>
      </c>
      <c r="M9" s="18" t="str">
        <f aca="false">IF(L9="","",IF(L9&gt;=15,"Critical",IF(L9&gt;=9,"High",IF(L9&gt;=5,"Moderate","Low"))))</f>
        <v>Moderate</v>
      </c>
      <c r="N9" s="18" t="s">
        <v>172</v>
      </c>
      <c r="O9" s="18" t="s">
        <v>67</v>
      </c>
      <c r="P9" s="18"/>
    </row>
    <row r="10" customFormat="false" ht="30" hidden="false" customHeight="true" outlineLevel="0" collapsed="false">
      <c r="A10" s="18" t="s">
        <v>58</v>
      </c>
      <c r="B10" s="18" t="s">
        <v>212</v>
      </c>
      <c r="C10" s="18" t="s">
        <v>213</v>
      </c>
      <c r="D10" s="18" t="s">
        <v>214</v>
      </c>
      <c r="E10" s="18" t="s">
        <v>215</v>
      </c>
      <c r="F10" s="18" t="s">
        <v>183</v>
      </c>
      <c r="G10" s="18" t="s">
        <v>80</v>
      </c>
      <c r="H10" s="18" t="s">
        <v>170</v>
      </c>
      <c r="I10" s="18" t="s">
        <v>171</v>
      </c>
      <c r="J10" s="18" t="n">
        <v>3</v>
      </c>
      <c r="K10" s="18" t="n">
        <v>5</v>
      </c>
      <c r="L10" s="18" t="n">
        <f aca="false">IF(AND(ISNUMBER(J10),ISNUMBER(K10)),J10*K10,"")</f>
        <v>15</v>
      </c>
      <c r="M10" s="18" t="str">
        <f aca="false">IF(L10="","",IF(L10&gt;=15,"Critical",IF(L10&gt;=9,"High",IF(L10&gt;=5,"Moderate","Low"))))</f>
        <v>Critical</v>
      </c>
      <c r="N10" s="18" t="s">
        <v>172</v>
      </c>
      <c r="O10" s="18" t="s">
        <v>67</v>
      </c>
      <c r="P10" s="18" t="s">
        <v>216</v>
      </c>
    </row>
    <row r="11" customFormat="false" ht="30" hidden="false" customHeight="true" outlineLevel="0" collapsed="false">
      <c r="A11" s="18" t="s">
        <v>58</v>
      </c>
      <c r="B11" s="18" t="s">
        <v>217</v>
      </c>
      <c r="C11" s="18" t="s">
        <v>218</v>
      </c>
      <c r="D11" s="18" t="s">
        <v>219</v>
      </c>
      <c r="E11" s="18" t="s">
        <v>219</v>
      </c>
      <c r="F11" s="18" t="s">
        <v>219</v>
      </c>
      <c r="G11" s="18" t="s">
        <v>80</v>
      </c>
      <c r="H11" s="18" t="s">
        <v>220</v>
      </c>
      <c r="I11" s="18" t="s">
        <v>221</v>
      </c>
      <c r="J11" s="18" t="n">
        <v>4</v>
      </c>
      <c r="K11" s="18" t="n">
        <v>5</v>
      </c>
      <c r="L11" s="18" t="n">
        <f aca="false">IF(AND(ISNUMBER(J11),ISNUMBER(K11)),J11*K11,"")</f>
        <v>20</v>
      </c>
      <c r="M11" s="18" t="str">
        <f aca="false">IF(L11="","",IF(L11&gt;=15,"Critical",IF(L11&gt;=9,"High",IF(L11&gt;=5,"Moderate","Low"))))</f>
        <v>Critical</v>
      </c>
      <c r="N11" s="18" t="s">
        <v>172</v>
      </c>
      <c r="O11" s="18" t="s">
        <v>67</v>
      </c>
      <c r="P11" s="18" t="s">
        <v>222</v>
      </c>
    </row>
    <row r="12" customFormat="false" ht="30" hidden="false" customHeight="true" outlineLevel="0" collapsed="false">
      <c r="A12" s="18" t="s">
        <v>58</v>
      </c>
      <c r="B12" s="18" t="s">
        <v>223</v>
      </c>
      <c r="C12" s="18" t="s">
        <v>110</v>
      </c>
      <c r="D12" s="18" t="s">
        <v>219</v>
      </c>
      <c r="E12" s="18" t="s">
        <v>219</v>
      </c>
      <c r="F12" s="18" t="s">
        <v>219</v>
      </c>
      <c r="G12" s="18" t="s">
        <v>224</v>
      </c>
      <c r="H12" s="18" t="s">
        <v>220</v>
      </c>
      <c r="I12" s="18" t="s">
        <v>221</v>
      </c>
      <c r="J12" s="18" t="n">
        <v>5</v>
      </c>
      <c r="K12" s="18" t="n">
        <v>5</v>
      </c>
      <c r="L12" s="18" t="n">
        <f aca="false">IF(AND(ISNUMBER(J12),ISNUMBER(K12)),J12*K12,"")</f>
        <v>25</v>
      </c>
      <c r="M12" s="18" t="str">
        <f aca="false">IF(L12="","",IF(L12&gt;=15,"Critical",IF(L12&gt;=9,"High",IF(L12&gt;=5,"Moderate","Low"))))</f>
        <v>Critical</v>
      </c>
      <c r="N12" s="18" t="s">
        <v>172</v>
      </c>
      <c r="O12" s="18" t="s">
        <v>67</v>
      </c>
      <c r="P12" s="18" t="s">
        <v>222</v>
      </c>
    </row>
    <row r="13" customFormat="false" ht="30" hidden="false" customHeight="true" outlineLevel="0" collapsed="false">
      <c r="A13" s="18" t="s">
        <v>58</v>
      </c>
      <c r="B13" s="18" t="s">
        <v>225</v>
      </c>
      <c r="C13" s="18" t="s">
        <v>110</v>
      </c>
      <c r="D13" s="18" t="s">
        <v>219</v>
      </c>
      <c r="E13" s="18" t="s">
        <v>219</v>
      </c>
      <c r="F13" s="18" t="s">
        <v>219</v>
      </c>
      <c r="G13" s="18" t="s">
        <v>224</v>
      </c>
      <c r="H13" s="18" t="s">
        <v>220</v>
      </c>
      <c r="I13" s="18" t="s">
        <v>221</v>
      </c>
      <c r="J13" s="18" t="n">
        <v>5</v>
      </c>
      <c r="K13" s="18" t="n">
        <v>5</v>
      </c>
      <c r="L13" s="18" t="n">
        <f aca="false">IF(AND(ISNUMBER(J13),ISNUMBER(K13)),J13*K13,"")</f>
        <v>25</v>
      </c>
      <c r="M13" s="18" t="str">
        <f aca="false">IF(L13="","",IF(L13&gt;=15,"Critical",IF(L13&gt;=9,"High",IF(L13&gt;=5,"Moderate","Low"))))</f>
        <v>Critical</v>
      </c>
      <c r="N13" s="18" t="s">
        <v>172</v>
      </c>
      <c r="O13" s="18" t="s">
        <v>67</v>
      </c>
      <c r="P13" s="18" t="s">
        <v>222</v>
      </c>
    </row>
    <row r="14" customFormat="false" ht="30" hidden="false" customHeight="true" outlineLevel="0" collapsed="false">
      <c r="A14" s="18" t="s">
        <v>58</v>
      </c>
      <c r="B14" s="18" t="s">
        <v>226</v>
      </c>
      <c r="C14" s="18" t="s">
        <v>227</v>
      </c>
      <c r="D14" s="18" t="s">
        <v>228</v>
      </c>
      <c r="E14" s="18" t="s">
        <v>229</v>
      </c>
      <c r="F14" s="18" t="s">
        <v>230</v>
      </c>
      <c r="G14" s="18" t="s">
        <v>65</v>
      </c>
      <c r="H14" s="18" t="s">
        <v>204</v>
      </c>
      <c r="I14" s="18" t="s">
        <v>171</v>
      </c>
      <c r="J14" s="18" t="n">
        <v>4</v>
      </c>
      <c r="K14" s="18" t="n">
        <v>5</v>
      </c>
      <c r="L14" s="18" t="n">
        <f aca="false">IF(AND(ISNUMBER(J14),ISNUMBER(K14)),J14*K14,"")</f>
        <v>20</v>
      </c>
      <c r="M14" s="18" t="str">
        <f aca="false">IF(L14="","",IF(L14&gt;=15,"Critical",IF(L14&gt;=9,"High",IF(L14&gt;=5,"Moderate","Low"))))</f>
        <v>Critical</v>
      </c>
      <c r="N14" s="18" t="s">
        <v>172</v>
      </c>
      <c r="O14" s="18" t="s">
        <v>67</v>
      </c>
      <c r="P14" s="18" t="s">
        <v>231</v>
      </c>
    </row>
  </sheetData>
  <conditionalFormatting sqref="M2:M500">
    <cfRule type="expression" priority="2" aboveAverage="0" equalAverage="0" bottom="0" percent="0" rank="0" text="" dxfId="0">
      <formula>$M2="Critical"</formula>
    </cfRule>
    <cfRule type="expression" priority="3" aboveAverage="0" equalAverage="0" bottom="0" percent="0" rank="0" text="" dxfId="1">
      <formula>$M2="High"</formula>
    </cfRule>
    <cfRule type="expression" priority="4" aboveAverage="0" equalAverage="0" bottom="0" percent="0" rank="0" text="" dxfId="2">
      <formula>$M2="Moderate"</formula>
    </cfRule>
    <cfRule type="expression" priority="5" aboveAverage="0" equalAverage="0" bottom="0" percent="0" rank="0" text="" dxfId="3">
      <formula>$M2="Low"</formula>
    </cfRule>
  </conditionalFormatting>
  <dataValidations count="4">
    <dataValidation allowBlank="true" errorStyle="stop" operator="between" showDropDown="false" showErrorMessage="false" showInputMessage="false" sqref="I2:I500" type="list">
      <formula1>"Enable,Disable,Restrict,Pending,Exception"</formula1>
      <formula2>0</formula2>
    </dataValidation>
    <dataValidation allowBlank="true" errorStyle="stop" operator="between" showDropDown="false" showErrorMessage="false" showInputMessage="false" sqref="H2:H500" type="list">
      <formula1>"Complete,In Progress,Not Started,N/A"</formula1>
      <formula2>0</formula2>
    </dataValidation>
    <dataValidation allowBlank="true" errorStyle="stop" operator="between" showDropDown="false" showErrorMessage="false" showInputMessage="false" sqref="G2:G500" type="list">
      <formula1>"None,Internal,Confidential,Restricted,Highly Restricted"</formula1>
      <formula2>0</formula2>
    </dataValidation>
    <dataValidation allowBlank="true" errorStyle="stop" operator="between" showDropDown="false" showErrorMessage="false" showInputMessage="false" sqref="J2:K5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18"/>
    <col collapsed="false" customWidth="true" hidden="false" outlineLevel="0" max="4" min="4" style="1" width="28"/>
    <col collapsed="false" customWidth="true" hidden="false" outlineLevel="0" max="6" min="5" style="1" width="22"/>
    <col collapsed="false" customWidth="true" hidden="false" outlineLevel="0" max="7" min="7" style="1" width="18"/>
    <col collapsed="false" customWidth="true" hidden="false" outlineLevel="0" max="9" min="8" style="1" width="1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16"/>
    <col collapsed="false" customWidth="true" hidden="false" outlineLevel="0" max="15" min="15" style="1" width="14"/>
    <col collapsed="false" customWidth="true" hidden="false" outlineLevel="0" max="16" min="16" style="1" width="28"/>
  </cols>
  <sheetData>
    <row r="1" customFormat="false" ht="31.5" hidden="false" customHeight="true" outlineLevel="0" collapsed="false">
      <c r="A1" s="7" t="s">
        <v>44</v>
      </c>
      <c r="B1" s="7" t="s">
        <v>232</v>
      </c>
      <c r="C1" s="7" t="s">
        <v>90</v>
      </c>
      <c r="D1" s="7" t="s">
        <v>153</v>
      </c>
      <c r="E1" s="7" t="s">
        <v>154</v>
      </c>
      <c r="F1" s="7" t="s">
        <v>155</v>
      </c>
      <c r="G1" s="7" t="s">
        <v>156</v>
      </c>
      <c r="H1" s="7" t="s">
        <v>157</v>
      </c>
      <c r="I1" s="7" t="s">
        <v>158</v>
      </c>
      <c r="J1" s="7" t="s">
        <v>159</v>
      </c>
      <c r="K1" s="7" t="s">
        <v>160</v>
      </c>
      <c r="L1" s="7" t="s">
        <v>161</v>
      </c>
      <c r="M1" s="7" t="s">
        <v>162</v>
      </c>
      <c r="N1" s="7" t="s">
        <v>163</v>
      </c>
      <c r="O1" s="7" t="s">
        <v>164</v>
      </c>
      <c r="P1" s="7" t="s">
        <v>57</v>
      </c>
    </row>
    <row r="2" customFormat="false" ht="30" hidden="false" customHeight="true" outlineLevel="0" collapsed="false">
      <c r="A2" s="18" t="s">
        <v>58</v>
      </c>
      <c r="B2" s="18" t="s">
        <v>233</v>
      </c>
      <c r="C2" s="18" t="s">
        <v>190</v>
      </c>
      <c r="D2" s="18" t="s">
        <v>234</v>
      </c>
      <c r="E2" s="18" t="s">
        <v>235</v>
      </c>
      <c r="F2" s="18" t="s">
        <v>235</v>
      </c>
      <c r="G2" s="18" t="s">
        <v>65</v>
      </c>
      <c r="H2" s="18" t="s">
        <v>204</v>
      </c>
      <c r="I2" s="18" t="s">
        <v>221</v>
      </c>
      <c r="J2" s="18" t="n">
        <v>4</v>
      </c>
      <c r="K2" s="18" t="n">
        <v>4</v>
      </c>
      <c r="L2" s="18" t="n">
        <f aca="false">IF(AND(ISNUMBER(J2),ISNUMBER(K2)),J2*K2,"")</f>
        <v>16</v>
      </c>
      <c r="M2" s="18" t="str">
        <f aca="false">IF(L2="","",IF(L2&gt;=15,"Critical",IF(L2&gt;=9,"High",IF(L2&gt;=5,"Moderate","Low"))))</f>
        <v>Critical</v>
      </c>
      <c r="N2" s="18" t="s">
        <v>172</v>
      </c>
      <c r="O2" s="18" t="s">
        <v>67</v>
      </c>
      <c r="P2" s="18" t="s">
        <v>236</v>
      </c>
    </row>
    <row r="3" customFormat="false" ht="30" hidden="false" customHeight="true" outlineLevel="0" collapsed="false">
      <c r="A3" s="18" t="s">
        <v>58</v>
      </c>
      <c r="B3" s="18" t="s">
        <v>237</v>
      </c>
      <c r="C3" s="18" t="s">
        <v>238</v>
      </c>
      <c r="D3" s="18" t="s">
        <v>239</v>
      </c>
      <c r="E3" s="18" t="s">
        <v>240</v>
      </c>
      <c r="F3" s="18" t="s">
        <v>219</v>
      </c>
      <c r="G3" s="18" t="s">
        <v>73</v>
      </c>
      <c r="H3" s="18" t="s">
        <v>170</v>
      </c>
      <c r="I3" s="18" t="s">
        <v>178</v>
      </c>
      <c r="J3" s="18" t="n">
        <v>2</v>
      </c>
      <c r="K3" s="18" t="n">
        <v>3</v>
      </c>
      <c r="L3" s="18" t="n">
        <f aca="false">IF(AND(ISNUMBER(J3),ISNUMBER(K3)),J3*K3,"")</f>
        <v>6</v>
      </c>
      <c r="M3" s="18" t="str">
        <f aca="false">IF(L3="","",IF(L3&gt;=15,"Critical",IF(L3&gt;=9,"High",IF(L3&gt;=5,"Moderate","Low"))))</f>
        <v>Moderate</v>
      </c>
      <c r="N3" s="18" t="s">
        <v>172</v>
      </c>
      <c r="O3" s="18" t="s">
        <v>67</v>
      </c>
      <c r="P3" s="18" t="s">
        <v>241</v>
      </c>
    </row>
    <row r="4" customFormat="false" ht="30" hidden="false" customHeight="true" outlineLevel="0" collapsed="false">
      <c r="A4" s="18" t="s">
        <v>58</v>
      </c>
      <c r="B4" s="18" t="s">
        <v>242</v>
      </c>
      <c r="C4" s="18" t="s">
        <v>190</v>
      </c>
      <c r="D4" s="18" t="s">
        <v>243</v>
      </c>
      <c r="E4" s="18" t="s">
        <v>244</v>
      </c>
      <c r="F4" s="18" t="s">
        <v>244</v>
      </c>
      <c r="G4" s="18" t="s">
        <v>73</v>
      </c>
      <c r="H4" s="18" t="s">
        <v>170</v>
      </c>
      <c r="I4" s="18" t="s">
        <v>178</v>
      </c>
      <c r="J4" s="18" t="n">
        <v>2</v>
      </c>
      <c r="K4" s="18" t="n">
        <v>2</v>
      </c>
      <c r="L4" s="18" t="n">
        <f aca="false">IF(AND(ISNUMBER(J4),ISNUMBER(K4)),J4*K4,"")</f>
        <v>4</v>
      </c>
      <c r="M4" s="18" t="str">
        <f aca="false">IF(L4="","",IF(L4&gt;=15,"Critical",IF(L4&gt;=9,"High",IF(L4&gt;=5,"Moderate","Low"))))</f>
        <v>Low</v>
      </c>
      <c r="N4" s="18" t="s">
        <v>172</v>
      </c>
      <c r="O4" s="18" t="s">
        <v>67</v>
      </c>
      <c r="P4" s="18"/>
    </row>
    <row r="5" customFormat="false" ht="30" hidden="false" customHeight="true" outlineLevel="0" collapsed="false">
      <c r="A5" s="18" t="s">
        <v>58</v>
      </c>
      <c r="B5" s="18" t="s">
        <v>245</v>
      </c>
      <c r="C5" s="18" t="s">
        <v>246</v>
      </c>
      <c r="D5" s="18" t="s">
        <v>247</v>
      </c>
      <c r="E5" s="18" t="s">
        <v>248</v>
      </c>
      <c r="F5" s="18" t="s">
        <v>248</v>
      </c>
      <c r="G5" s="18" t="s">
        <v>80</v>
      </c>
      <c r="H5" s="18" t="s">
        <v>249</v>
      </c>
      <c r="I5" s="18" t="s">
        <v>221</v>
      </c>
      <c r="J5" s="18" t="n">
        <v>4</v>
      </c>
      <c r="K5" s="18" t="n">
        <v>4</v>
      </c>
      <c r="L5" s="18" t="n">
        <f aca="false">IF(AND(ISNUMBER(J5),ISNUMBER(K5)),J5*K5,"")</f>
        <v>16</v>
      </c>
      <c r="M5" s="18" t="str">
        <f aca="false">IF(L5="","",IF(L5&gt;=15,"Critical",IF(L5&gt;=9,"High",IF(L5&gt;=5,"Moderate","Low"))))</f>
        <v>Critical</v>
      </c>
      <c r="N5" s="18" t="s">
        <v>172</v>
      </c>
      <c r="O5" s="18" t="s">
        <v>67</v>
      </c>
      <c r="P5" s="18" t="s">
        <v>250</v>
      </c>
    </row>
    <row r="6" customFormat="false" ht="30" hidden="false" customHeight="true" outlineLevel="0" collapsed="false">
      <c r="A6" s="18" t="s">
        <v>58</v>
      </c>
      <c r="B6" s="18" t="s">
        <v>251</v>
      </c>
      <c r="C6" s="18" t="s">
        <v>252</v>
      </c>
      <c r="D6" s="18" t="s">
        <v>253</v>
      </c>
      <c r="E6" s="18" t="s">
        <v>254</v>
      </c>
      <c r="F6" s="18" t="s">
        <v>254</v>
      </c>
      <c r="G6" s="18" t="s">
        <v>65</v>
      </c>
      <c r="H6" s="18" t="s">
        <v>170</v>
      </c>
      <c r="I6" s="18" t="s">
        <v>178</v>
      </c>
      <c r="J6" s="18" t="n">
        <v>2</v>
      </c>
      <c r="K6" s="18" t="n">
        <v>3</v>
      </c>
      <c r="L6" s="18" t="n">
        <f aca="false">IF(AND(ISNUMBER(J6),ISNUMBER(K6)),J6*K6,"")</f>
        <v>6</v>
      </c>
      <c r="M6" s="18" t="str">
        <f aca="false">IF(L6="","",IF(L6&gt;=15,"Critical",IF(L6&gt;=9,"High",IF(L6&gt;=5,"Moderate","Low"))))</f>
        <v>Moderate</v>
      </c>
      <c r="N6" s="18" t="s">
        <v>172</v>
      </c>
      <c r="O6" s="18" t="s">
        <v>67</v>
      </c>
      <c r="P6" s="18" t="s">
        <v>255</v>
      </c>
    </row>
  </sheetData>
  <conditionalFormatting sqref="M2:M500">
    <cfRule type="expression" priority="2" aboveAverage="0" equalAverage="0" bottom="0" percent="0" rank="0" text="" dxfId="0">
      <formula>$M2="Critical"</formula>
    </cfRule>
    <cfRule type="expression" priority="3" aboveAverage="0" equalAverage="0" bottom="0" percent="0" rank="0" text="" dxfId="1">
      <formula>$M2="High"</formula>
    </cfRule>
    <cfRule type="expression" priority="4" aboveAverage="0" equalAverage="0" bottom="0" percent="0" rank="0" text="" dxfId="2">
      <formula>$M2="Moderate"</formula>
    </cfRule>
    <cfRule type="expression" priority="5" aboveAverage="0" equalAverage="0" bottom="0" percent="0" rank="0" text="" dxfId="3">
      <formula>$M2="Low"</formula>
    </cfRule>
  </conditionalFormatting>
  <dataValidations count="4">
    <dataValidation allowBlank="true" errorStyle="stop" operator="between" showDropDown="false" showErrorMessage="false" showInputMessage="false" sqref="I2:I500" type="list">
      <formula1>"Enable,Disable,Restrict,Pending,Exception"</formula1>
      <formula2>0</formula2>
    </dataValidation>
    <dataValidation allowBlank="true" errorStyle="stop" operator="between" showDropDown="false" showErrorMessage="false" showInputMessage="false" sqref="H2:H500" type="list">
      <formula1>"Complete,In Progress,Not Started,N/A"</formula1>
      <formula2>0</formula2>
    </dataValidation>
    <dataValidation allowBlank="true" errorStyle="stop" operator="between" showDropDown="false" showErrorMessage="false" showInputMessage="false" sqref="G2:G500" type="list">
      <formula1>"None,Internal,Confidential,Restricted,Highly Restricted"</formula1>
      <formula2>0</formula2>
    </dataValidation>
    <dataValidation allowBlank="true" errorStyle="stop" operator="between" showDropDown="false" showErrorMessage="false" showInputMessage="false" sqref="J2:K5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18"/>
    <col collapsed="false" customWidth="true" hidden="false" outlineLevel="0" max="4" min="4" style="1" width="28"/>
    <col collapsed="false" customWidth="true" hidden="false" outlineLevel="0" max="6" min="5" style="1" width="22"/>
    <col collapsed="false" customWidth="true" hidden="false" outlineLevel="0" max="7" min="7" style="1" width="18"/>
    <col collapsed="false" customWidth="true" hidden="false" outlineLevel="0" max="9" min="8" style="1" width="1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16"/>
    <col collapsed="false" customWidth="true" hidden="false" outlineLevel="0" max="15" min="15" style="1" width="14"/>
    <col collapsed="false" customWidth="true" hidden="false" outlineLevel="0" max="16" min="16" style="1" width="28"/>
  </cols>
  <sheetData>
    <row r="1" customFormat="false" ht="31.5" hidden="false" customHeight="true" outlineLevel="0" collapsed="false">
      <c r="A1" s="7" t="s">
        <v>44</v>
      </c>
      <c r="B1" s="7" t="s">
        <v>256</v>
      </c>
      <c r="C1" s="7" t="s">
        <v>90</v>
      </c>
      <c r="D1" s="7" t="s">
        <v>153</v>
      </c>
      <c r="E1" s="7" t="s">
        <v>154</v>
      </c>
      <c r="F1" s="7" t="s">
        <v>155</v>
      </c>
      <c r="G1" s="7" t="s">
        <v>156</v>
      </c>
      <c r="H1" s="7" t="s">
        <v>157</v>
      </c>
      <c r="I1" s="7" t="s">
        <v>158</v>
      </c>
      <c r="J1" s="7" t="s">
        <v>159</v>
      </c>
      <c r="K1" s="7" t="s">
        <v>160</v>
      </c>
      <c r="L1" s="7" t="s">
        <v>161</v>
      </c>
      <c r="M1" s="7" t="s">
        <v>162</v>
      </c>
      <c r="N1" s="7" t="s">
        <v>163</v>
      </c>
      <c r="O1" s="7" t="s">
        <v>164</v>
      </c>
      <c r="P1" s="7" t="s">
        <v>57</v>
      </c>
    </row>
    <row r="2" customFormat="false" ht="30" hidden="false" customHeight="true" outlineLevel="0" collapsed="false">
      <c r="A2" s="18" t="s">
        <v>58</v>
      </c>
      <c r="B2" s="18" t="s">
        <v>257</v>
      </c>
      <c r="C2" s="18" t="s">
        <v>190</v>
      </c>
      <c r="D2" s="18" t="s">
        <v>258</v>
      </c>
      <c r="E2" s="18" t="s">
        <v>259</v>
      </c>
      <c r="F2" s="18" t="s">
        <v>260</v>
      </c>
      <c r="G2" s="18" t="s">
        <v>65</v>
      </c>
      <c r="H2" s="18" t="s">
        <v>170</v>
      </c>
      <c r="I2" s="18" t="s">
        <v>171</v>
      </c>
      <c r="J2" s="18" t="n">
        <v>3</v>
      </c>
      <c r="K2" s="18" t="n">
        <v>4</v>
      </c>
      <c r="L2" s="18" t="n">
        <f aca="false">IF(AND(ISNUMBER(J2),ISNUMBER(K2)),J2*K2,"")</f>
        <v>12</v>
      </c>
      <c r="M2" s="18" t="str">
        <f aca="false">IF(L2="","",IF(L2&gt;=15,"Critical",IF(L2&gt;=9,"High",IF(L2&gt;=5,"Moderate","Low"))))</f>
        <v>High</v>
      </c>
      <c r="N2" s="18" t="s">
        <v>172</v>
      </c>
      <c r="O2" s="18" t="s">
        <v>67</v>
      </c>
      <c r="P2" s="18" t="s">
        <v>261</v>
      </c>
    </row>
    <row r="3" customFormat="false" ht="30" hidden="false" customHeight="true" outlineLevel="0" collapsed="false">
      <c r="A3" s="18" t="s">
        <v>58</v>
      </c>
      <c r="B3" s="18" t="s">
        <v>262</v>
      </c>
      <c r="C3" s="18" t="s">
        <v>190</v>
      </c>
      <c r="D3" s="18" t="s">
        <v>263</v>
      </c>
      <c r="E3" s="18" t="s">
        <v>244</v>
      </c>
      <c r="F3" s="18" t="s">
        <v>244</v>
      </c>
      <c r="G3" s="18" t="s">
        <v>73</v>
      </c>
      <c r="H3" s="18" t="s">
        <v>170</v>
      </c>
      <c r="I3" s="18" t="s">
        <v>178</v>
      </c>
      <c r="J3" s="18" t="n">
        <v>1</v>
      </c>
      <c r="K3" s="18" t="n">
        <v>2</v>
      </c>
      <c r="L3" s="18" t="n">
        <f aca="false">IF(AND(ISNUMBER(J3),ISNUMBER(K3)),J3*K3,"")</f>
        <v>2</v>
      </c>
      <c r="M3" s="18" t="str">
        <f aca="false">IF(L3="","",IF(L3&gt;=15,"Critical",IF(L3&gt;=9,"High",IF(L3&gt;=5,"Moderate","Low"))))</f>
        <v>Low</v>
      </c>
      <c r="N3" s="18" t="s">
        <v>172</v>
      </c>
      <c r="O3" s="18" t="s">
        <v>67</v>
      </c>
      <c r="P3" s="18"/>
    </row>
    <row r="4" customFormat="false" ht="30" hidden="false" customHeight="true" outlineLevel="0" collapsed="false">
      <c r="A4" s="18" t="s">
        <v>58</v>
      </c>
      <c r="B4" s="18" t="s">
        <v>264</v>
      </c>
      <c r="C4" s="18" t="s">
        <v>208</v>
      </c>
      <c r="D4" s="18" t="s">
        <v>265</v>
      </c>
      <c r="E4" s="18" t="s">
        <v>266</v>
      </c>
      <c r="F4" s="18" t="s">
        <v>266</v>
      </c>
      <c r="G4" s="18" t="s">
        <v>73</v>
      </c>
      <c r="H4" s="18" t="s">
        <v>170</v>
      </c>
      <c r="I4" s="18" t="s">
        <v>178</v>
      </c>
      <c r="J4" s="18" t="n">
        <v>2</v>
      </c>
      <c r="K4" s="18" t="n">
        <v>3</v>
      </c>
      <c r="L4" s="18" t="n">
        <f aca="false">IF(AND(ISNUMBER(J4),ISNUMBER(K4)),J4*K4,"")</f>
        <v>6</v>
      </c>
      <c r="M4" s="18" t="str">
        <f aca="false">IF(L4="","",IF(L4&gt;=15,"Critical",IF(L4&gt;=9,"High",IF(L4&gt;=5,"Moderate","Low"))))</f>
        <v>Moderate</v>
      </c>
      <c r="N4" s="18" t="s">
        <v>172</v>
      </c>
      <c r="O4" s="18" t="s">
        <v>67</v>
      </c>
      <c r="P4" s="18" t="s">
        <v>267</v>
      </c>
    </row>
    <row r="5" customFormat="false" ht="30" hidden="false" customHeight="true" outlineLevel="0" collapsed="false">
      <c r="A5" s="18" t="s">
        <v>58</v>
      </c>
      <c r="B5" s="18" t="s">
        <v>268</v>
      </c>
      <c r="C5" s="18" t="s">
        <v>227</v>
      </c>
      <c r="D5" s="18" t="s">
        <v>269</v>
      </c>
      <c r="E5" s="18" t="s">
        <v>270</v>
      </c>
      <c r="F5" s="18" t="s">
        <v>271</v>
      </c>
      <c r="G5" s="18" t="s">
        <v>65</v>
      </c>
      <c r="H5" s="18" t="s">
        <v>204</v>
      </c>
      <c r="I5" s="18" t="s">
        <v>171</v>
      </c>
      <c r="J5" s="18" t="n">
        <v>4</v>
      </c>
      <c r="K5" s="18" t="n">
        <v>5</v>
      </c>
      <c r="L5" s="18" t="n">
        <f aca="false">IF(AND(ISNUMBER(J5),ISNUMBER(K5)),J5*K5,"")</f>
        <v>20</v>
      </c>
      <c r="M5" s="18" t="str">
        <f aca="false">IF(L5="","",IF(L5&gt;=15,"Critical",IF(L5&gt;=9,"High",IF(L5&gt;=5,"Moderate","Low"))))</f>
        <v>Critical</v>
      </c>
      <c r="N5" s="18" t="s">
        <v>172</v>
      </c>
      <c r="O5" s="18" t="s">
        <v>67</v>
      </c>
      <c r="P5" s="18" t="s">
        <v>272</v>
      </c>
    </row>
    <row r="6" customFormat="false" ht="30" hidden="false" customHeight="true" outlineLevel="0" collapsed="false">
      <c r="A6" s="18" t="s">
        <v>58</v>
      </c>
      <c r="B6" s="18" t="s">
        <v>273</v>
      </c>
      <c r="C6" s="18" t="s">
        <v>252</v>
      </c>
      <c r="D6" s="18" t="s">
        <v>247</v>
      </c>
      <c r="E6" s="18" t="s">
        <v>248</v>
      </c>
      <c r="F6" s="18" t="s">
        <v>248</v>
      </c>
      <c r="G6" s="18" t="s">
        <v>65</v>
      </c>
      <c r="H6" s="18" t="s">
        <v>249</v>
      </c>
      <c r="I6" s="18" t="s">
        <v>221</v>
      </c>
      <c r="J6" s="18" t="n">
        <v>4</v>
      </c>
      <c r="K6" s="18" t="n">
        <v>4</v>
      </c>
      <c r="L6" s="18" t="n">
        <f aca="false">IF(AND(ISNUMBER(J6),ISNUMBER(K6)),J6*K6,"")</f>
        <v>16</v>
      </c>
      <c r="M6" s="18" t="str">
        <f aca="false">IF(L6="","",IF(L6&gt;=15,"Critical",IF(L6&gt;=9,"High",IF(L6&gt;=5,"Moderate","Low"))))</f>
        <v>Critical</v>
      </c>
      <c r="N6" s="18" t="s">
        <v>172</v>
      </c>
      <c r="O6" s="18" t="s">
        <v>67</v>
      </c>
      <c r="P6" s="18" t="s">
        <v>274</v>
      </c>
    </row>
    <row r="7" customFormat="false" ht="30" hidden="false" customHeight="true" outlineLevel="0" collapsed="false">
      <c r="A7" s="18" t="s">
        <v>58</v>
      </c>
      <c r="B7" s="18" t="s">
        <v>275</v>
      </c>
      <c r="C7" s="18" t="s">
        <v>276</v>
      </c>
      <c r="D7" s="18" t="s">
        <v>277</v>
      </c>
      <c r="E7" s="18" t="s">
        <v>278</v>
      </c>
      <c r="F7" s="18" t="s">
        <v>219</v>
      </c>
      <c r="G7" s="18" t="s">
        <v>219</v>
      </c>
      <c r="H7" s="18" t="s">
        <v>170</v>
      </c>
      <c r="I7" s="18" t="s">
        <v>178</v>
      </c>
      <c r="J7" s="18" t="n">
        <v>1</v>
      </c>
      <c r="K7" s="18" t="n">
        <v>1</v>
      </c>
      <c r="L7" s="18" t="n">
        <f aca="false">IF(AND(ISNUMBER(J7),ISNUMBER(K7)),J7*K7,"")</f>
        <v>1</v>
      </c>
      <c r="M7" s="18" t="str">
        <f aca="false">IF(L7="","",IF(L7&gt;=15,"Critical",IF(L7&gt;=9,"High",IF(L7&gt;=5,"Moderate","Low"))))</f>
        <v>Low</v>
      </c>
      <c r="N7" s="18" t="s">
        <v>172</v>
      </c>
      <c r="O7" s="18" t="s">
        <v>67</v>
      </c>
      <c r="P7" s="18" t="s">
        <v>279</v>
      </c>
    </row>
  </sheetData>
  <conditionalFormatting sqref="M2:M500">
    <cfRule type="expression" priority="2" aboveAverage="0" equalAverage="0" bottom="0" percent="0" rank="0" text="" dxfId="0">
      <formula>$M2="Critical"</formula>
    </cfRule>
    <cfRule type="expression" priority="3" aboveAverage="0" equalAverage="0" bottom="0" percent="0" rank="0" text="" dxfId="1">
      <formula>$M2="High"</formula>
    </cfRule>
    <cfRule type="expression" priority="4" aboveAverage="0" equalAverage="0" bottom="0" percent="0" rank="0" text="" dxfId="2">
      <formula>$M2="Moderate"</formula>
    </cfRule>
    <cfRule type="expression" priority="5" aboveAverage="0" equalAverage="0" bottom="0" percent="0" rank="0" text="" dxfId="3">
      <formula>$M2="Low"</formula>
    </cfRule>
  </conditionalFormatting>
  <dataValidations count="4">
    <dataValidation allowBlank="true" errorStyle="stop" operator="between" showDropDown="false" showErrorMessage="false" showInputMessage="false" sqref="I2:I500" type="list">
      <formula1>"Enable,Disable,Restrict,Pending,Exception"</formula1>
      <formula2>0</formula2>
    </dataValidation>
    <dataValidation allowBlank="true" errorStyle="stop" operator="between" showDropDown="false" showErrorMessage="false" showInputMessage="false" sqref="H2:H500" type="list">
      <formula1>"Complete,In Progress,Not Started,N/A"</formula1>
      <formula2>0</formula2>
    </dataValidation>
    <dataValidation allowBlank="true" errorStyle="stop" operator="between" showDropDown="false" showErrorMessage="false" showInputMessage="false" sqref="G2:G500" type="list">
      <formula1>"None,Internal,Confidential,Restricted,Highly Restricted"</formula1>
      <formula2>0</formula2>
    </dataValidation>
    <dataValidation allowBlank="true" errorStyle="stop" operator="between" showDropDown="false" showErrorMessage="false" showInputMessage="false" sqref="J2:K5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18"/>
    <col collapsed="false" customWidth="true" hidden="false" outlineLevel="0" max="4" min="4" style="1" width="28"/>
    <col collapsed="false" customWidth="true" hidden="false" outlineLevel="0" max="6" min="5" style="1" width="22"/>
    <col collapsed="false" customWidth="true" hidden="false" outlineLevel="0" max="7" min="7" style="1" width="18"/>
    <col collapsed="false" customWidth="true" hidden="false" outlineLevel="0" max="9" min="8" style="1" width="1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16"/>
    <col collapsed="false" customWidth="true" hidden="false" outlineLevel="0" max="15" min="15" style="1" width="14"/>
    <col collapsed="false" customWidth="true" hidden="false" outlineLevel="0" max="16" min="16" style="1" width="28"/>
  </cols>
  <sheetData>
    <row r="1" customFormat="false" ht="31.5" hidden="false" customHeight="true" outlineLevel="0" collapsed="false">
      <c r="A1" s="7" t="s">
        <v>44</v>
      </c>
      <c r="B1" s="7" t="s">
        <v>280</v>
      </c>
      <c r="C1" s="7" t="s">
        <v>90</v>
      </c>
      <c r="D1" s="7" t="s">
        <v>153</v>
      </c>
      <c r="E1" s="7" t="s">
        <v>154</v>
      </c>
      <c r="F1" s="7" t="s">
        <v>155</v>
      </c>
      <c r="G1" s="7" t="s">
        <v>156</v>
      </c>
      <c r="H1" s="7" t="s">
        <v>157</v>
      </c>
      <c r="I1" s="7" t="s">
        <v>158</v>
      </c>
      <c r="J1" s="7" t="s">
        <v>159</v>
      </c>
      <c r="K1" s="7" t="s">
        <v>160</v>
      </c>
      <c r="L1" s="7" t="s">
        <v>161</v>
      </c>
      <c r="M1" s="7" t="s">
        <v>162</v>
      </c>
      <c r="N1" s="7" t="s">
        <v>163</v>
      </c>
      <c r="O1" s="7" t="s">
        <v>164</v>
      </c>
      <c r="P1" s="7" t="s">
        <v>57</v>
      </c>
    </row>
    <row r="2" customFormat="false" ht="30" hidden="false" customHeight="true" outlineLevel="0" collapsed="false">
      <c r="A2" s="18" t="s">
        <v>58</v>
      </c>
      <c r="B2" s="18" t="s">
        <v>281</v>
      </c>
      <c r="C2" s="18" t="s">
        <v>282</v>
      </c>
      <c r="D2" s="18" t="s">
        <v>283</v>
      </c>
      <c r="E2" s="18" t="s">
        <v>244</v>
      </c>
      <c r="F2" s="18" t="s">
        <v>244</v>
      </c>
      <c r="G2" s="18" t="s">
        <v>65</v>
      </c>
      <c r="H2" s="18" t="s">
        <v>170</v>
      </c>
      <c r="I2" s="18" t="s">
        <v>178</v>
      </c>
      <c r="J2" s="18" t="n">
        <v>2</v>
      </c>
      <c r="K2" s="18" t="n">
        <v>3</v>
      </c>
      <c r="L2" s="18" t="n">
        <f aca="false">IF(AND(ISNUMBER(J2),ISNUMBER(K2)),J2*K2,"")</f>
        <v>6</v>
      </c>
      <c r="M2" s="18" t="str">
        <f aca="false">IF(L2="","",IF(L2&gt;=15,"Critical",IF(L2&gt;=9,"High",IF(L2&gt;=5,"Moderate","Low"))))</f>
        <v>Moderate</v>
      </c>
      <c r="N2" s="18" t="s">
        <v>172</v>
      </c>
      <c r="O2" s="18" t="s">
        <v>67</v>
      </c>
      <c r="P2" s="18" t="s">
        <v>284</v>
      </c>
    </row>
    <row r="3" customFormat="false" ht="30" hidden="false" customHeight="true" outlineLevel="0" collapsed="false">
      <c r="A3" s="18" t="s">
        <v>58</v>
      </c>
      <c r="B3" s="18" t="s">
        <v>285</v>
      </c>
      <c r="C3" s="18" t="s">
        <v>238</v>
      </c>
      <c r="D3" s="18" t="s">
        <v>286</v>
      </c>
      <c r="E3" s="18" t="s">
        <v>287</v>
      </c>
      <c r="F3" s="18" t="s">
        <v>219</v>
      </c>
      <c r="G3" s="18" t="s">
        <v>73</v>
      </c>
      <c r="H3" s="18" t="s">
        <v>170</v>
      </c>
      <c r="I3" s="18" t="s">
        <v>178</v>
      </c>
      <c r="J3" s="18" t="n">
        <v>3</v>
      </c>
      <c r="K3" s="18" t="n">
        <v>3</v>
      </c>
      <c r="L3" s="18" t="n">
        <f aca="false">IF(AND(ISNUMBER(J3),ISNUMBER(K3)),J3*K3,"")</f>
        <v>9</v>
      </c>
      <c r="M3" s="18" t="str">
        <f aca="false">IF(L3="","",IF(L3&gt;=15,"Critical",IF(L3&gt;=9,"High",IF(L3&gt;=5,"Moderate","Low"))))</f>
        <v>High</v>
      </c>
      <c r="N3" s="18" t="s">
        <v>172</v>
      </c>
      <c r="O3" s="18" t="s">
        <v>67</v>
      </c>
      <c r="P3" s="18" t="s">
        <v>288</v>
      </c>
    </row>
    <row r="4" customFormat="false" ht="30" hidden="false" customHeight="true" outlineLevel="0" collapsed="false">
      <c r="A4" s="18" t="s">
        <v>58</v>
      </c>
      <c r="B4" s="18" t="s">
        <v>289</v>
      </c>
      <c r="C4" s="18" t="s">
        <v>213</v>
      </c>
      <c r="D4" s="18" t="s">
        <v>290</v>
      </c>
      <c r="E4" s="18" t="s">
        <v>291</v>
      </c>
      <c r="F4" s="18" t="s">
        <v>292</v>
      </c>
      <c r="G4" s="18" t="s">
        <v>80</v>
      </c>
      <c r="H4" s="18" t="s">
        <v>249</v>
      </c>
      <c r="I4" s="18" t="s">
        <v>221</v>
      </c>
      <c r="J4" s="18" t="n">
        <v>4</v>
      </c>
      <c r="K4" s="18" t="n">
        <v>5</v>
      </c>
      <c r="L4" s="18" t="n">
        <f aca="false">IF(AND(ISNUMBER(J4),ISNUMBER(K4)),J4*K4,"")</f>
        <v>20</v>
      </c>
      <c r="M4" s="18" t="str">
        <f aca="false">IF(L4="","",IF(L4&gt;=15,"Critical",IF(L4&gt;=9,"High",IF(L4&gt;=5,"Moderate","Low"))))</f>
        <v>Critical</v>
      </c>
      <c r="N4" s="18" t="s">
        <v>172</v>
      </c>
      <c r="O4" s="18" t="s">
        <v>67</v>
      </c>
      <c r="P4" s="18" t="s">
        <v>293</v>
      </c>
    </row>
    <row r="5" customFormat="false" ht="30" hidden="false" customHeight="true" outlineLevel="0" collapsed="false">
      <c r="A5" s="18" t="s">
        <v>58</v>
      </c>
      <c r="B5" s="18" t="s">
        <v>294</v>
      </c>
      <c r="C5" s="18" t="s">
        <v>190</v>
      </c>
      <c r="D5" s="18" t="s">
        <v>295</v>
      </c>
      <c r="E5" s="18" t="s">
        <v>296</v>
      </c>
      <c r="F5" s="18" t="s">
        <v>219</v>
      </c>
      <c r="G5" s="18" t="s">
        <v>65</v>
      </c>
      <c r="H5" s="18" t="s">
        <v>170</v>
      </c>
      <c r="I5" s="18" t="s">
        <v>178</v>
      </c>
      <c r="J5" s="18" t="n">
        <v>2</v>
      </c>
      <c r="K5" s="18" t="n">
        <v>3</v>
      </c>
      <c r="L5" s="18" t="n">
        <f aca="false">IF(AND(ISNUMBER(J5),ISNUMBER(K5)),J5*K5,"")</f>
        <v>6</v>
      </c>
      <c r="M5" s="18" t="str">
        <f aca="false">IF(L5="","",IF(L5&gt;=15,"Critical",IF(L5&gt;=9,"High",IF(L5&gt;=5,"Moderate","Low"))))</f>
        <v>Moderate</v>
      </c>
      <c r="N5" s="18" t="s">
        <v>172</v>
      </c>
      <c r="O5" s="18" t="s">
        <v>67</v>
      </c>
      <c r="P5" s="18" t="s">
        <v>297</v>
      </c>
    </row>
    <row r="6" customFormat="false" ht="30" hidden="false" customHeight="true" outlineLevel="0" collapsed="false">
      <c r="A6" s="18" t="s">
        <v>58</v>
      </c>
      <c r="B6" s="18" t="s">
        <v>298</v>
      </c>
      <c r="C6" s="18" t="s">
        <v>190</v>
      </c>
      <c r="D6" s="18" t="s">
        <v>299</v>
      </c>
      <c r="E6" s="18" t="s">
        <v>300</v>
      </c>
      <c r="F6" s="18" t="s">
        <v>301</v>
      </c>
      <c r="G6" s="18" t="s">
        <v>73</v>
      </c>
      <c r="H6" s="18" t="s">
        <v>170</v>
      </c>
      <c r="I6" s="18" t="s">
        <v>171</v>
      </c>
      <c r="J6" s="18" t="n">
        <v>2</v>
      </c>
      <c r="K6" s="18" t="n">
        <v>3</v>
      </c>
      <c r="L6" s="18" t="n">
        <f aca="false">IF(AND(ISNUMBER(J6),ISNUMBER(K6)),J6*K6,"")</f>
        <v>6</v>
      </c>
      <c r="M6" s="18" t="str">
        <f aca="false">IF(L6="","",IF(L6&gt;=15,"Critical",IF(L6&gt;=9,"High",IF(L6&gt;=5,"Moderate","Low"))))</f>
        <v>Moderate</v>
      </c>
      <c r="N6" s="18" t="s">
        <v>172</v>
      </c>
      <c r="O6" s="18" t="s">
        <v>67</v>
      </c>
      <c r="P6" s="18" t="s">
        <v>302</v>
      </c>
    </row>
  </sheetData>
  <conditionalFormatting sqref="M2:M500">
    <cfRule type="expression" priority="2" aboveAverage="0" equalAverage="0" bottom="0" percent="0" rank="0" text="" dxfId="0">
      <formula>$M2="Critical"</formula>
    </cfRule>
    <cfRule type="expression" priority="3" aboveAverage="0" equalAverage="0" bottom="0" percent="0" rank="0" text="" dxfId="1">
      <formula>$M2="High"</formula>
    </cfRule>
    <cfRule type="expression" priority="4" aboveAverage="0" equalAverage="0" bottom="0" percent="0" rank="0" text="" dxfId="2">
      <formula>$M2="Moderate"</formula>
    </cfRule>
    <cfRule type="expression" priority="5" aboveAverage="0" equalAverage="0" bottom="0" percent="0" rank="0" text="" dxfId="3">
      <formula>$M2="Low"</formula>
    </cfRule>
  </conditionalFormatting>
  <dataValidations count="4">
    <dataValidation allowBlank="true" errorStyle="stop" operator="between" showDropDown="false" showErrorMessage="false" showInputMessage="false" sqref="I2:I500" type="list">
      <formula1>"Enable,Disable,Restrict,Pending,Exception"</formula1>
      <formula2>0</formula2>
    </dataValidation>
    <dataValidation allowBlank="true" errorStyle="stop" operator="between" showDropDown="false" showErrorMessage="false" showInputMessage="false" sqref="H2:H500" type="list">
      <formula1>"Complete,In Progress,Not Started,N/A"</formula1>
      <formula2>0</formula2>
    </dataValidation>
    <dataValidation allowBlank="true" errorStyle="stop" operator="between" showDropDown="false" showErrorMessage="false" showInputMessage="false" sqref="G2:G500" type="list">
      <formula1>"None,Internal,Confidential,Restricted,Highly Restricted"</formula1>
      <formula2>0</formula2>
    </dataValidation>
    <dataValidation allowBlank="true" errorStyle="stop" operator="between" showDropDown="false" showErrorMessage="false" showInputMessage="false" sqref="J2:K5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18"/>
    <col collapsed="false" customWidth="true" hidden="false" outlineLevel="0" max="4" min="4" style="1" width="28"/>
    <col collapsed="false" customWidth="true" hidden="false" outlineLevel="0" max="6" min="5" style="1" width="22"/>
    <col collapsed="false" customWidth="true" hidden="false" outlineLevel="0" max="7" min="7" style="1" width="18"/>
    <col collapsed="false" customWidth="true" hidden="false" outlineLevel="0" max="9" min="8" style="1" width="14"/>
    <col collapsed="false" customWidth="true" hidden="false" outlineLevel="0" max="11" min="10" style="1" width="12"/>
    <col collapsed="false" customWidth="true" hidden="false" outlineLevel="0" max="12" min="12" style="1" width="10"/>
    <col collapsed="false" customWidth="true" hidden="false" outlineLevel="0" max="13" min="13" style="1" width="12"/>
    <col collapsed="false" customWidth="true" hidden="false" outlineLevel="0" max="14" min="14" style="1" width="16"/>
    <col collapsed="false" customWidth="true" hidden="false" outlineLevel="0" max="15" min="15" style="1" width="14"/>
    <col collapsed="false" customWidth="true" hidden="false" outlineLevel="0" max="16" min="16" style="1" width="28"/>
  </cols>
  <sheetData>
    <row r="1" customFormat="false" ht="31.5" hidden="false" customHeight="true" outlineLevel="0" collapsed="false">
      <c r="A1" s="7" t="s">
        <v>44</v>
      </c>
      <c r="B1" s="7" t="s">
        <v>303</v>
      </c>
      <c r="C1" s="7" t="s">
        <v>90</v>
      </c>
      <c r="D1" s="7" t="s">
        <v>153</v>
      </c>
      <c r="E1" s="7" t="s">
        <v>154</v>
      </c>
      <c r="F1" s="7" t="s">
        <v>155</v>
      </c>
      <c r="G1" s="7" t="s">
        <v>156</v>
      </c>
      <c r="H1" s="7" t="s">
        <v>157</v>
      </c>
      <c r="I1" s="7" t="s">
        <v>158</v>
      </c>
      <c r="J1" s="7" t="s">
        <v>159</v>
      </c>
      <c r="K1" s="7" t="s">
        <v>160</v>
      </c>
      <c r="L1" s="7" t="s">
        <v>161</v>
      </c>
      <c r="M1" s="7" t="s">
        <v>162</v>
      </c>
      <c r="N1" s="7" t="s">
        <v>163</v>
      </c>
      <c r="O1" s="7" t="s">
        <v>164</v>
      </c>
      <c r="P1" s="7" t="s">
        <v>57</v>
      </c>
    </row>
    <row r="2" customFormat="false" ht="30" hidden="false" customHeight="true" outlineLevel="0" collapsed="false">
      <c r="A2" s="18" t="s">
        <v>86</v>
      </c>
      <c r="B2" s="18" t="s">
        <v>304</v>
      </c>
      <c r="C2" s="18" t="s">
        <v>227</v>
      </c>
      <c r="D2" s="18" t="s">
        <v>305</v>
      </c>
      <c r="E2" s="18" t="s">
        <v>306</v>
      </c>
      <c r="F2" s="18" t="s">
        <v>307</v>
      </c>
      <c r="G2" s="18" t="s">
        <v>80</v>
      </c>
      <c r="H2" s="18" t="s">
        <v>170</v>
      </c>
      <c r="I2" s="18" t="s">
        <v>171</v>
      </c>
      <c r="J2" s="18" t="n">
        <v>3</v>
      </c>
      <c r="K2" s="18" t="n">
        <v>5</v>
      </c>
      <c r="L2" s="18" t="n">
        <f aca="false">IF(AND(ISNUMBER(J2),ISNUMBER(K2)),J2*K2,"")</f>
        <v>15</v>
      </c>
      <c r="M2" s="18" t="str">
        <f aca="false">IF(L2="","",IF(L2&gt;=15,"Critical",IF(L2&gt;=9,"High",IF(L2&gt;=5,"Moderate","Low"))))</f>
        <v>Critical</v>
      </c>
      <c r="N2" s="18" t="s">
        <v>172</v>
      </c>
      <c r="O2" s="18" t="s">
        <v>67</v>
      </c>
      <c r="P2" s="18" t="s">
        <v>308</v>
      </c>
    </row>
    <row r="3" customFormat="false" ht="30" hidden="false" customHeight="true" outlineLevel="0" collapsed="false">
      <c r="A3" s="18" t="s">
        <v>86</v>
      </c>
      <c r="B3" s="18" t="s">
        <v>309</v>
      </c>
      <c r="C3" s="18" t="s">
        <v>190</v>
      </c>
      <c r="D3" s="18" t="s">
        <v>310</v>
      </c>
      <c r="E3" s="18" t="s">
        <v>311</v>
      </c>
      <c r="F3" s="18" t="s">
        <v>312</v>
      </c>
      <c r="G3" s="18" t="s">
        <v>73</v>
      </c>
      <c r="H3" s="18" t="s">
        <v>170</v>
      </c>
      <c r="I3" s="18" t="s">
        <v>178</v>
      </c>
      <c r="J3" s="18" t="n">
        <v>1</v>
      </c>
      <c r="K3" s="18" t="n">
        <v>2</v>
      </c>
      <c r="L3" s="18" t="n">
        <f aca="false">IF(AND(ISNUMBER(J3),ISNUMBER(K3)),J3*K3,"")</f>
        <v>2</v>
      </c>
      <c r="M3" s="18" t="str">
        <f aca="false">IF(L3="","",IF(L3&gt;=15,"Critical",IF(L3&gt;=9,"High",IF(L3&gt;=5,"Moderate","Low"))))</f>
        <v>Low</v>
      </c>
      <c r="N3" s="18" t="s">
        <v>172</v>
      </c>
      <c r="O3" s="18" t="s">
        <v>67</v>
      </c>
      <c r="P3" s="18" t="s">
        <v>313</v>
      </c>
    </row>
    <row r="4" customFormat="false" ht="30" hidden="false" customHeight="true" outlineLevel="0" collapsed="false">
      <c r="A4" s="18" t="s">
        <v>86</v>
      </c>
      <c r="B4" s="18" t="s">
        <v>314</v>
      </c>
      <c r="C4" s="18" t="s">
        <v>315</v>
      </c>
      <c r="D4" s="18" t="s">
        <v>316</v>
      </c>
      <c r="E4" s="18" t="s">
        <v>300</v>
      </c>
      <c r="F4" s="18" t="s">
        <v>317</v>
      </c>
      <c r="G4" s="18" t="s">
        <v>65</v>
      </c>
      <c r="H4" s="18" t="s">
        <v>170</v>
      </c>
      <c r="I4" s="18" t="s">
        <v>171</v>
      </c>
      <c r="J4" s="18" t="n">
        <v>2</v>
      </c>
      <c r="K4" s="18" t="n">
        <v>3</v>
      </c>
      <c r="L4" s="18" t="n">
        <f aca="false">IF(AND(ISNUMBER(J4),ISNUMBER(K4)),J4*K4,"")</f>
        <v>6</v>
      </c>
      <c r="M4" s="18" t="str">
        <f aca="false">IF(L4="","",IF(L4&gt;=15,"Critical",IF(L4&gt;=9,"High",IF(L4&gt;=5,"Moderate","Low"))))</f>
        <v>Moderate</v>
      </c>
      <c r="N4" s="18" t="s">
        <v>172</v>
      </c>
      <c r="O4" s="18" t="s">
        <v>67</v>
      </c>
      <c r="P4" s="18" t="s">
        <v>318</v>
      </c>
    </row>
  </sheetData>
  <conditionalFormatting sqref="M2:M500">
    <cfRule type="expression" priority="2" aboveAverage="0" equalAverage="0" bottom="0" percent="0" rank="0" text="" dxfId="0">
      <formula>$M2="Critical"</formula>
    </cfRule>
    <cfRule type="expression" priority="3" aboveAverage="0" equalAverage="0" bottom="0" percent="0" rank="0" text="" dxfId="1">
      <formula>$M2="High"</formula>
    </cfRule>
    <cfRule type="expression" priority="4" aboveAverage="0" equalAverage="0" bottom="0" percent="0" rank="0" text="" dxfId="2">
      <formula>$M2="Moderate"</formula>
    </cfRule>
    <cfRule type="expression" priority="5" aboveAverage="0" equalAverage="0" bottom="0" percent="0" rank="0" text="" dxfId="3">
      <formula>$M2="Low"</formula>
    </cfRule>
  </conditionalFormatting>
  <dataValidations count="4">
    <dataValidation allowBlank="true" errorStyle="stop" operator="between" showDropDown="false" showErrorMessage="false" showInputMessage="false" sqref="I2:I500" type="list">
      <formula1>"Enable,Disable,Restrict,Pending,Exception"</formula1>
      <formula2>0</formula2>
    </dataValidation>
    <dataValidation allowBlank="true" errorStyle="stop" operator="between" showDropDown="false" showErrorMessage="false" showInputMessage="false" sqref="H2:H500" type="list">
      <formula1>"Complete,In Progress,Not Started,N/A"</formula1>
      <formula2>0</formula2>
    </dataValidation>
    <dataValidation allowBlank="true" errorStyle="stop" operator="between" showDropDown="false" showErrorMessage="false" showInputMessage="false" sqref="G2:G500" type="list">
      <formula1>"None,Internal,Confidential,Restricted,Highly Restricted"</formula1>
      <formula2>0</formula2>
    </dataValidation>
    <dataValidation allowBlank="true" errorStyle="stop" operator="between" showDropDown="false" showErrorMessage="false" showInputMessage="false" sqref="J2:K50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50"/>
    <col collapsed="false" customWidth="true" hidden="false" outlineLevel="0" max="3" min="3" style="1" width="18"/>
    <col collapsed="false" customWidth="true" hidden="false" outlineLevel="0" max="5" min="4" style="1" width="16"/>
    <col collapsed="false" customWidth="true" hidden="false" outlineLevel="0" max="6" min="6" style="1" width="22"/>
    <col collapsed="false" customWidth="true" hidden="false" outlineLevel="0" max="7" min="7" style="1" width="26"/>
    <col collapsed="false" customWidth="true" hidden="false" outlineLevel="0" max="8" min="8" style="1" width="32"/>
  </cols>
  <sheetData>
    <row r="1" customFormat="false" ht="31.5" hidden="false" customHeight="true" outlineLevel="0" collapsed="false">
      <c r="A1" s="7" t="s">
        <v>319</v>
      </c>
      <c r="B1" s="7" t="s">
        <v>320</v>
      </c>
      <c r="C1" s="7" t="s">
        <v>321</v>
      </c>
      <c r="D1" s="7" t="s">
        <v>322</v>
      </c>
      <c r="E1" s="7" t="s">
        <v>323</v>
      </c>
      <c r="F1" s="7" t="s">
        <v>324</v>
      </c>
      <c r="G1" s="7" t="s">
        <v>325</v>
      </c>
      <c r="H1" s="7" t="s">
        <v>326</v>
      </c>
    </row>
    <row r="2" customFormat="false" ht="27.75" hidden="false" customHeight="true" outlineLevel="0" collapsed="false">
      <c r="A2" s="16" t="s">
        <v>276</v>
      </c>
      <c r="B2" s="16" t="s">
        <v>327</v>
      </c>
      <c r="C2" s="16" t="s">
        <v>328</v>
      </c>
      <c r="D2" s="16" t="s">
        <v>329</v>
      </c>
      <c r="E2" s="16" t="s">
        <v>330</v>
      </c>
      <c r="F2" s="16" t="s">
        <v>219</v>
      </c>
      <c r="G2" s="16" t="s">
        <v>219</v>
      </c>
      <c r="H2" s="16" t="s">
        <v>331</v>
      </c>
    </row>
    <row r="3" customFormat="false" ht="27.75" hidden="false" customHeight="true" outlineLevel="0" collapsed="false">
      <c r="A3" s="16" t="s">
        <v>276</v>
      </c>
      <c r="B3" s="16" t="s">
        <v>332</v>
      </c>
      <c r="C3" s="16" t="s">
        <v>333</v>
      </c>
      <c r="D3" s="16" t="s">
        <v>334</v>
      </c>
      <c r="E3" s="16" t="s">
        <v>335</v>
      </c>
      <c r="F3" s="16" t="s">
        <v>219</v>
      </c>
      <c r="G3" s="16" t="s">
        <v>219</v>
      </c>
      <c r="H3" s="16" t="s">
        <v>336</v>
      </c>
    </row>
    <row r="4" customFormat="false" ht="27.75" hidden="false" customHeight="true" outlineLevel="0" collapsed="false">
      <c r="A4" s="16" t="s">
        <v>337</v>
      </c>
      <c r="B4" s="16" t="s">
        <v>338</v>
      </c>
      <c r="C4" s="16" t="s">
        <v>339</v>
      </c>
      <c r="D4" s="16" t="s">
        <v>340</v>
      </c>
      <c r="E4" s="16" t="s">
        <v>341</v>
      </c>
      <c r="F4" s="16" t="s">
        <v>342</v>
      </c>
      <c r="G4" s="16" t="s">
        <v>343</v>
      </c>
      <c r="H4" s="16" t="s">
        <v>344</v>
      </c>
    </row>
    <row r="5" customFormat="false" ht="27.75" hidden="false" customHeight="true" outlineLevel="0" collapsed="false">
      <c r="A5" s="16" t="s">
        <v>345</v>
      </c>
      <c r="B5" s="16" t="s">
        <v>346</v>
      </c>
      <c r="C5" s="16" t="s">
        <v>347</v>
      </c>
      <c r="D5" s="16" t="s">
        <v>348</v>
      </c>
      <c r="E5" s="16" t="s">
        <v>349</v>
      </c>
      <c r="F5" s="16" t="s">
        <v>350</v>
      </c>
      <c r="G5" s="16" t="s">
        <v>219</v>
      </c>
      <c r="H5" s="16" t="s">
        <v>351</v>
      </c>
    </row>
    <row r="6" customFormat="false" ht="27.75" hidden="false" customHeight="true" outlineLevel="0" collapsed="false">
      <c r="A6" s="16" t="s">
        <v>345</v>
      </c>
      <c r="B6" s="16" t="s">
        <v>352</v>
      </c>
      <c r="C6" s="16" t="s">
        <v>353</v>
      </c>
      <c r="D6" s="16" t="s">
        <v>354</v>
      </c>
      <c r="E6" s="16" t="s">
        <v>349</v>
      </c>
      <c r="F6" s="16" t="s">
        <v>355</v>
      </c>
      <c r="G6" s="16" t="s">
        <v>219</v>
      </c>
      <c r="H6" s="16" t="s">
        <v>356</v>
      </c>
    </row>
    <row r="7" customFormat="false" ht="27.75" hidden="false" customHeight="true" outlineLevel="0" collapsed="false">
      <c r="A7" s="16" t="s">
        <v>110</v>
      </c>
      <c r="B7" s="16" t="s">
        <v>357</v>
      </c>
      <c r="C7" s="16" t="s">
        <v>358</v>
      </c>
      <c r="D7" s="16" t="s">
        <v>359</v>
      </c>
      <c r="E7" s="16" t="s">
        <v>360</v>
      </c>
      <c r="F7" s="16" t="s">
        <v>219</v>
      </c>
      <c r="G7" s="16" t="s">
        <v>219</v>
      </c>
      <c r="H7" s="16" t="s">
        <v>361</v>
      </c>
    </row>
    <row r="8" customFormat="false" ht="27.75" hidden="false" customHeight="true" outlineLevel="0" collapsed="false">
      <c r="A8" s="16" t="s">
        <v>362</v>
      </c>
      <c r="B8" s="16" t="s">
        <v>363</v>
      </c>
      <c r="C8" s="16" t="s">
        <v>364</v>
      </c>
      <c r="D8" s="16" t="s">
        <v>365</v>
      </c>
      <c r="E8" s="16" t="s">
        <v>360</v>
      </c>
      <c r="F8" s="16" t="s">
        <v>366</v>
      </c>
      <c r="G8" s="16" t="s">
        <v>367</v>
      </c>
      <c r="H8" s="16" t="s">
        <v>368</v>
      </c>
    </row>
    <row r="9" customFormat="false" ht="27.75" hidden="false" customHeight="true" outlineLevel="0" collapsed="false">
      <c r="A9" s="16" t="s">
        <v>369</v>
      </c>
      <c r="B9" s="16" t="s">
        <v>370</v>
      </c>
      <c r="C9" s="16" t="s">
        <v>371</v>
      </c>
      <c r="D9" s="16" t="s">
        <v>372</v>
      </c>
      <c r="E9" s="16" t="s">
        <v>373</v>
      </c>
      <c r="F9" s="16" t="s">
        <v>374</v>
      </c>
      <c r="G9" s="16" t="s">
        <v>219</v>
      </c>
      <c r="H9" s="16" t="s">
        <v>375</v>
      </c>
    </row>
    <row r="10" customFormat="false" ht="27.75" hidden="false" customHeight="true" outlineLevel="0" collapsed="false">
      <c r="A10" s="16" t="s">
        <v>376</v>
      </c>
      <c r="B10" s="16" t="s">
        <v>377</v>
      </c>
      <c r="C10" s="16" t="s">
        <v>378</v>
      </c>
      <c r="D10" s="16" t="s">
        <v>365</v>
      </c>
      <c r="E10" s="16" t="s">
        <v>360</v>
      </c>
      <c r="F10" s="16" t="s">
        <v>374</v>
      </c>
      <c r="G10" s="16" t="s">
        <v>379</v>
      </c>
      <c r="H10" s="16" t="s">
        <v>380</v>
      </c>
    </row>
    <row r="11" customFormat="false" ht="27.75" hidden="false" customHeight="true" outlineLevel="0" collapsed="false">
      <c r="A11" s="16" t="s">
        <v>381</v>
      </c>
      <c r="B11" s="16" t="s">
        <v>382</v>
      </c>
      <c r="C11" s="16" t="s">
        <v>383</v>
      </c>
      <c r="D11" s="16" t="s">
        <v>365</v>
      </c>
      <c r="E11" s="16" t="s">
        <v>360</v>
      </c>
      <c r="F11" s="16" t="s">
        <v>384</v>
      </c>
      <c r="G11" s="16" t="s">
        <v>343</v>
      </c>
      <c r="H11" s="16" t="s">
        <v>385</v>
      </c>
    </row>
    <row r="12" customFormat="false" ht="27.75" hidden="false" customHeight="true" outlineLevel="0" collapsed="false">
      <c r="A12" s="16" t="s">
        <v>386</v>
      </c>
      <c r="B12" s="16" t="s">
        <v>387</v>
      </c>
      <c r="C12" s="16" t="s">
        <v>353</v>
      </c>
      <c r="D12" s="16" t="s">
        <v>388</v>
      </c>
      <c r="E12" s="16" t="s">
        <v>360</v>
      </c>
      <c r="F12" s="16" t="s">
        <v>389</v>
      </c>
      <c r="G12" s="16" t="s">
        <v>219</v>
      </c>
      <c r="H12" s="16" t="s">
        <v>390</v>
      </c>
    </row>
    <row r="13" customFormat="false" ht="27.75" hidden="false" customHeight="true" outlineLevel="0" collapsed="false">
      <c r="A13" s="16" t="s">
        <v>134</v>
      </c>
      <c r="B13" s="16" t="s">
        <v>391</v>
      </c>
      <c r="C13" s="16" t="s">
        <v>378</v>
      </c>
      <c r="D13" s="16" t="s">
        <v>392</v>
      </c>
      <c r="E13" s="16" t="s">
        <v>360</v>
      </c>
      <c r="F13" s="16" t="s">
        <v>393</v>
      </c>
      <c r="G13" s="16" t="s">
        <v>219</v>
      </c>
      <c r="H13" s="16" t="s">
        <v>394</v>
      </c>
    </row>
    <row r="14" customFormat="false" ht="27.75" hidden="false" customHeight="true" outlineLevel="0" collapsed="false">
      <c r="A14" s="16" t="s">
        <v>395</v>
      </c>
      <c r="B14" s="16" t="s">
        <v>396</v>
      </c>
      <c r="C14" s="16" t="s">
        <v>378</v>
      </c>
      <c r="D14" s="16" t="s">
        <v>392</v>
      </c>
      <c r="E14" s="16" t="s">
        <v>397</v>
      </c>
      <c r="F14" s="16" t="s">
        <v>374</v>
      </c>
      <c r="G14" s="16" t="s">
        <v>398</v>
      </c>
      <c r="H14" s="16" t="s">
        <v>399</v>
      </c>
    </row>
    <row r="15" customFormat="false" ht="27.75" hidden="false" customHeight="true" outlineLevel="0" collapsed="false">
      <c r="A15" s="16" t="s">
        <v>400</v>
      </c>
      <c r="B15" s="16" t="s">
        <v>401</v>
      </c>
      <c r="C15" s="16" t="s">
        <v>383</v>
      </c>
      <c r="D15" s="16" t="s">
        <v>365</v>
      </c>
      <c r="E15" s="16" t="s">
        <v>360</v>
      </c>
      <c r="F15" s="16" t="s">
        <v>374</v>
      </c>
      <c r="G15" s="16" t="s">
        <v>367</v>
      </c>
      <c r="H15" s="16" t="s">
        <v>402</v>
      </c>
    </row>
    <row r="16" customFormat="false" ht="27.75" hidden="false" customHeight="true" outlineLevel="0" collapsed="false">
      <c r="A16" s="16" t="s">
        <v>403</v>
      </c>
      <c r="B16" s="16" t="s">
        <v>404</v>
      </c>
      <c r="C16" s="16" t="s">
        <v>405</v>
      </c>
      <c r="D16" s="16" t="s">
        <v>406</v>
      </c>
      <c r="E16" s="16" t="s">
        <v>397</v>
      </c>
      <c r="F16" s="16" t="s">
        <v>407</v>
      </c>
      <c r="G16" s="16" t="s">
        <v>219</v>
      </c>
      <c r="H16" s="16" t="s">
        <v>408</v>
      </c>
    </row>
    <row r="17" customFormat="false" ht="27.75" hidden="false" customHeight="true" outlineLevel="0" collapsed="false">
      <c r="A17" s="16" t="s">
        <v>409</v>
      </c>
      <c r="B17" s="16" t="s">
        <v>410</v>
      </c>
      <c r="C17" s="16" t="s">
        <v>411</v>
      </c>
      <c r="D17" s="16" t="s">
        <v>388</v>
      </c>
      <c r="E17" s="16" t="s">
        <v>412</v>
      </c>
      <c r="F17" s="16" t="s">
        <v>219</v>
      </c>
      <c r="G17" s="16" t="s">
        <v>219</v>
      </c>
      <c r="H17" s="16" t="s">
        <v>413</v>
      </c>
    </row>
    <row r="18" customFormat="false" ht="27.75" hidden="false" customHeight="true" outlineLevel="0" collapsed="false">
      <c r="A18" s="16" t="s">
        <v>141</v>
      </c>
      <c r="B18" s="16" t="s">
        <v>414</v>
      </c>
      <c r="C18" s="16" t="s">
        <v>415</v>
      </c>
      <c r="D18" s="16" t="s">
        <v>416</v>
      </c>
      <c r="E18" s="16" t="s">
        <v>335</v>
      </c>
      <c r="F18" s="16" t="s">
        <v>219</v>
      </c>
      <c r="G18" s="16" t="s">
        <v>219</v>
      </c>
      <c r="H18" s="16" t="s">
        <v>417</v>
      </c>
    </row>
    <row r="19" customFormat="false" ht="27.75" hidden="false" customHeight="true" outlineLevel="0" collapsed="false">
      <c r="A19" s="16" t="s">
        <v>418</v>
      </c>
      <c r="B19" s="16" t="s">
        <v>419</v>
      </c>
      <c r="C19" s="16" t="s">
        <v>420</v>
      </c>
      <c r="D19" s="16" t="s">
        <v>421</v>
      </c>
      <c r="E19" s="16" t="s">
        <v>219</v>
      </c>
      <c r="F19" s="16" t="s">
        <v>219</v>
      </c>
      <c r="G19" s="16" t="s">
        <v>219</v>
      </c>
      <c r="H19" s="16" t="s">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18"/>
    <col collapsed="false" customWidth="true" hidden="false" outlineLevel="0" max="4" min="4" style="1" width="50"/>
    <col collapsed="false" customWidth="true" hidden="false" outlineLevel="0" max="5" min="5" style="1" width="16"/>
    <col collapsed="false" customWidth="true" hidden="false" outlineLevel="0" max="6" min="6" style="1" width="18"/>
    <col collapsed="false" customWidth="true" hidden="false" outlineLevel="0" max="10" min="7" style="1" width="14"/>
  </cols>
  <sheetData>
    <row r="1" customFormat="false" ht="31.5" hidden="false" customHeight="true" outlineLevel="0" collapsed="false">
      <c r="A1" s="7" t="s">
        <v>423</v>
      </c>
      <c r="B1" s="7" t="s">
        <v>424</v>
      </c>
      <c r="C1" s="7" t="s">
        <v>158</v>
      </c>
      <c r="D1" s="7" t="s">
        <v>425</v>
      </c>
      <c r="E1" s="7" t="s">
        <v>163</v>
      </c>
      <c r="F1" s="7" t="s">
        <v>426</v>
      </c>
      <c r="G1" s="7" t="s">
        <v>427</v>
      </c>
      <c r="H1" s="7" t="s">
        <v>428</v>
      </c>
      <c r="I1" s="7" t="s">
        <v>429</v>
      </c>
      <c r="J1" s="7" t="s">
        <v>53</v>
      </c>
    </row>
    <row r="2" customFormat="false" ht="27.75" hidden="false" customHeight="true" outlineLevel="0" collapsed="false">
      <c r="A2" s="16" t="s">
        <v>67</v>
      </c>
      <c r="B2" s="16" t="s">
        <v>430</v>
      </c>
      <c r="C2" s="16" t="s">
        <v>66</v>
      </c>
      <c r="D2" s="16" t="s">
        <v>431</v>
      </c>
      <c r="E2" s="16" t="s">
        <v>172</v>
      </c>
      <c r="F2" s="16" t="s">
        <v>432</v>
      </c>
      <c r="G2" s="16" t="s">
        <v>67</v>
      </c>
      <c r="H2" s="16" t="s">
        <v>67</v>
      </c>
      <c r="I2" s="16" t="s">
        <v>433</v>
      </c>
      <c r="J2" s="16" t="s">
        <v>434</v>
      </c>
    </row>
    <row r="3" customFormat="false" ht="27.75" hidden="false" customHeight="true" outlineLevel="0" collapsed="false">
      <c r="A3" s="16" t="s">
        <v>67</v>
      </c>
      <c r="B3" s="16" t="s">
        <v>435</v>
      </c>
      <c r="C3" s="16" t="s">
        <v>80</v>
      </c>
      <c r="D3" s="16" t="s">
        <v>436</v>
      </c>
      <c r="E3" s="16" t="s">
        <v>172</v>
      </c>
      <c r="F3" s="16" t="s">
        <v>432</v>
      </c>
      <c r="G3" s="16" t="s">
        <v>67</v>
      </c>
      <c r="H3" s="16" t="s">
        <v>67</v>
      </c>
      <c r="I3" s="16" t="s">
        <v>437</v>
      </c>
      <c r="J3" s="16" t="s">
        <v>434</v>
      </c>
    </row>
    <row r="4" customFormat="false" ht="27.75" hidden="false" customHeight="true" outlineLevel="0" collapsed="false">
      <c r="A4" s="16" t="s">
        <v>67</v>
      </c>
      <c r="B4" s="16" t="s">
        <v>438</v>
      </c>
      <c r="C4" s="16" t="s">
        <v>439</v>
      </c>
      <c r="D4" s="16" t="s">
        <v>440</v>
      </c>
      <c r="E4" s="16" t="s">
        <v>172</v>
      </c>
      <c r="F4" s="16" t="s">
        <v>432</v>
      </c>
      <c r="G4" s="16" t="s">
        <v>67</v>
      </c>
      <c r="H4" s="16" t="s">
        <v>219</v>
      </c>
      <c r="I4" s="16" t="s">
        <v>441</v>
      </c>
      <c r="J4" s="16" t="s">
        <v>434</v>
      </c>
    </row>
    <row r="5" customFormat="false" ht="27.75" hidden="false" customHeight="true" outlineLevel="0" collapsed="false">
      <c r="A5" s="16" t="s">
        <v>67</v>
      </c>
      <c r="B5" s="16" t="s">
        <v>442</v>
      </c>
      <c r="C5" s="16" t="s">
        <v>439</v>
      </c>
      <c r="D5" s="16" t="s">
        <v>443</v>
      </c>
      <c r="E5" s="16" t="s">
        <v>172</v>
      </c>
      <c r="F5" s="16" t="s">
        <v>432</v>
      </c>
      <c r="G5" s="16" t="s">
        <v>67</v>
      </c>
      <c r="H5" s="16" t="s">
        <v>219</v>
      </c>
      <c r="I5" s="16" t="s">
        <v>444</v>
      </c>
      <c r="J5" s="16" t="s">
        <v>434</v>
      </c>
    </row>
  </sheetData>
  <dataValidations count="2">
    <dataValidation allowBlank="true" errorStyle="stop" operator="between" showDropDown="false" showErrorMessage="false" showInputMessage="false" sqref="C2:C500" type="list">
      <formula1>"Approved,Restricted,Disabled,Pending,Exception,Decommissioned"</formula1>
      <formula2>0</formula2>
    </dataValidation>
    <dataValidation allowBlank="true" errorStyle="stop" operator="between" showDropDown="false" showErrorMessage="false" showInputMessage="false" sqref="J2:J500" type="list">
      <formula1>"Active,Superseded,Expired,Withdrawn"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2026-04-29T15:31:27Z</dcterms:created>
  <dc:creator>openpyxl</dc:creator>
  <dc:description/>
  <dc:language>en-US</dc:language>
  <cp:lastModifiedBy/>
  <dcterms:modified xsi:type="dcterms:W3CDTF">2026-04-29T15:31:27Z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